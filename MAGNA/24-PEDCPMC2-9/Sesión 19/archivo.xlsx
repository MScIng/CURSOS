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drawings/drawing3.xml" ContentType="application/vnd.openxmlformats-officedocument.drawing+xml"/>
  <Override PartName="/xl/embeddings/oleObject2.bin" ContentType="application/vnd.openxmlformats-officedocument.oleObject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e9a6c190bc31514/16^. MAGNA AREQUIPA/Ejemplos/"/>
    </mc:Choice>
  </mc:AlternateContent>
  <xr:revisionPtr revIDLastSave="141" documentId="11_B086B6A9783DBF264CC0457A73EE9942A19DE0DC" xr6:coauthVersionLast="47" xr6:coauthVersionMax="47" xr10:uidLastSave="{8E17F6D7-4228-4958-8CAE-FB6643244ED3}"/>
  <bookViews>
    <workbookView xWindow="-108" yWindow="-108" windowWidth="23256" windowHeight="12456" tabRatio="1000" activeTab="1" xr2:uid="{00000000-000D-0000-FFFF-FFFF00000000}"/>
  </bookViews>
  <sheets>
    <sheet name="DATOS" sheetId="195" r:id="rId1"/>
    <sheet name="H55" sheetId="187" r:id="rId2"/>
    <sheet name="Base de datos " sheetId="179" r:id="rId3"/>
    <sheet name="Ayuda de diseño " sheetId="180" r:id="rId4"/>
    <sheet name="Resumen" sheetId="128" r:id="rId5"/>
    <sheet name="MetArmadura" sheetId="129" r:id="rId6"/>
    <sheet name="ResMet" sheetId="131" r:id="rId7"/>
  </sheets>
  <definedNames>
    <definedName name="_xlnm.Print_Area" localSheetId="1">'H55'!$B$6:$O$309</definedName>
    <definedName name="_xlnm.Print_Titles" localSheetId="1">'H55'!$2:$5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4" i="187" l="1"/>
  <c r="F103" i="187"/>
  <c r="D88" i="187"/>
  <c r="K154" i="187"/>
  <c r="I173" i="187"/>
  <c r="D115" i="187"/>
  <c r="D114" i="187"/>
  <c r="C54" i="187"/>
  <c r="C37" i="187"/>
  <c r="T34" i="187" s="1"/>
  <c r="L3" i="187"/>
  <c r="L2" i="187"/>
  <c r="F2" i="187"/>
  <c r="C355" i="187" l="1"/>
  <c r="E340" i="187"/>
  <c r="Q337" i="187"/>
  <c r="P334" i="187"/>
  <c r="P335" i="187" s="1"/>
  <c r="D334" i="187"/>
  <c r="P333" i="187"/>
  <c r="P337" i="187" s="1"/>
  <c r="D330" i="187"/>
  <c r="Q328" i="187"/>
  <c r="Q332" i="187" s="1"/>
  <c r="P328" i="187"/>
  <c r="P332" i="187" s="1"/>
  <c r="D326" i="187"/>
  <c r="D331" i="187" s="1"/>
  <c r="D323" i="187"/>
  <c r="P322" i="187"/>
  <c r="P323" i="187" s="1"/>
  <c r="P327" i="187" s="1"/>
  <c r="D322" i="187"/>
  <c r="P320" i="187"/>
  <c r="P321" i="187" s="1"/>
  <c r="P324" i="187" s="1"/>
  <c r="P325" i="187" s="1"/>
  <c r="D319" i="187"/>
  <c r="C319" i="187"/>
  <c r="C320" i="187" s="1"/>
  <c r="C321" i="187" s="1"/>
  <c r="C322" i="187" s="1"/>
  <c r="Q318" i="187"/>
  <c r="Q321" i="187" s="1"/>
  <c r="Q324" i="187" s="1"/>
  <c r="D318" i="187"/>
  <c r="G278" i="187"/>
  <c r="G277" i="187"/>
  <c r="G276" i="187"/>
  <c r="G275" i="187"/>
  <c r="G274" i="187"/>
  <c r="G273" i="187"/>
  <c r="C263" i="187"/>
  <c r="C259" i="187"/>
  <c r="C260" i="187" s="1"/>
  <c r="C256" i="187"/>
  <c r="G240" i="187"/>
  <c r="G239" i="187"/>
  <c r="G238" i="187"/>
  <c r="G237" i="187"/>
  <c r="G236" i="187"/>
  <c r="G235" i="187"/>
  <c r="I205" i="187"/>
  <c r="H205" i="187"/>
  <c r="G205" i="187"/>
  <c r="F205" i="187"/>
  <c r="I194" i="187"/>
  <c r="H194" i="187"/>
  <c r="G194" i="187"/>
  <c r="F194" i="187"/>
  <c r="I183" i="187"/>
  <c r="H183" i="187"/>
  <c r="G183" i="187"/>
  <c r="F183" i="187"/>
  <c r="I172" i="187"/>
  <c r="H172" i="187"/>
  <c r="G172" i="187"/>
  <c r="F172" i="187"/>
  <c r="A155" i="187"/>
  <c r="A154" i="187"/>
  <c r="A153" i="187"/>
  <c r="A152" i="187"/>
  <c r="A147" i="187"/>
  <c r="K146" i="187"/>
  <c r="A146" i="187"/>
  <c r="A145" i="187"/>
  <c r="A144" i="187"/>
  <c r="A143" i="187"/>
  <c r="C118" i="187"/>
  <c r="E91" i="187"/>
  <c r="D91" i="187"/>
  <c r="J89" i="187"/>
  <c r="K88" i="187"/>
  <c r="J88" i="187"/>
  <c r="D90" i="187"/>
  <c r="C59" i="187"/>
  <c r="M307" i="187" s="1"/>
  <c r="C46" i="187"/>
  <c r="C45" i="187"/>
  <c r="C44" i="187"/>
  <c r="D329" i="187" s="1"/>
  <c r="C43" i="187"/>
  <c r="C42" i="187"/>
  <c r="C41" i="187"/>
  <c r="C348" i="187" s="1"/>
  <c r="K145" i="187"/>
  <c r="C31" i="187"/>
  <c r="B355" i="187" s="1"/>
  <c r="M304" i="187" l="1"/>
  <c r="J146" i="187"/>
  <c r="I176" i="187" s="1"/>
  <c r="P336" i="187"/>
  <c r="M308" i="187"/>
  <c r="C268" i="187"/>
  <c r="P329" i="187"/>
  <c r="P330" i="187" s="1"/>
  <c r="P331" i="187"/>
  <c r="D355" i="187"/>
  <c r="Q333" i="187"/>
  <c r="M309" i="187"/>
  <c r="D327" i="187"/>
  <c r="D328" i="187" s="1"/>
  <c r="C323" i="187"/>
  <c r="C324" i="187" s="1"/>
  <c r="C334" i="187"/>
  <c r="L229" i="187"/>
  <c r="C333" i="187"/>
  <c r="C326" i="187"/>
  <c r="C330" i="187" s="1"/>
  <c r="Q329" i="187"/>
  <c r="Q334" i="187" s="1"/>
  <c r="Q322" i="187"/>
  <c r="Q323" i="187" s="1"/>
  <c r="C28" i="187"/>
  <c r="K152" i="187"/>
  <c r="D332" i="187"/>
  <c r="D333" i="187" s="1"/>
  <c r="C29" i="187"/>
  <c r="D340" i="187" s="1"/>
  <c r="F340" i="187" s="1"/>
  <c r="L228" i="187"/>
  <c r="U34" i="187"/>
  <c r="U35" i="187" s="1"/>
  <c r="L225" i="187"/>
  <c r="L227" i="187"/>
  <c r="D339" i="187"/>
  <c r="E339" i="187"/>
  <c r="L226" i="187"/>
  <c r="J90" i="187"/>
  <c r="H94" i="187" s="1"/>
  <c r="I74" i="187"/>
  <c r="I69" i="187" s="1"/>
  <c r="C270" i="187"/>
  <c r="C269" i="187"/>
  <c r="C264" i="187"/>
  <c r="M306" i="187"/>
  <c r="M305" i="187"/>
  <c r="C127" i="187"/>
  <c r="C137" i="187" s="1"/>
  <c r="L224" i="187"/>
  <c r="B348" i="187"/>
  <c r="D348" i="187" s="1"/>
  <c r="Q330" i="187"/>
  <c r="K153" i="187"/>
  <c r="C120" i="187" l="1"/>
  <c r="J153" i="187" s="1"/>
  <c r="G195" i="187" s="1"/>
  <c r="C119" i="187"/>
  <c r="C121" i="187"/>
  <c r="M146" i="187"/>
  <c r="I184" i="187" s="1"/>
  <c r="I189" i="187" s="1"/>
  <c r="I179" i="187"/>
  <c r="I178" i="187"/>
  <c r="I177" i="187"/>
  <c r="I175" i="187"/>
  <c r="I174" i="187"/>
  <c r="I276" i="187"/>
  <c r="I275" i="187"/>
  <c r="C327" i="187"/>
  <c r="C328" i="187" s="1"/>
  <c r="C331" i="187"/>
  <c r="C332" i="187" s="1"/>
  <c r="F78" i="187"/>
  <c r="F80" i="187" s="1"/>
  <c r="J145" i="187" s="1"/>
  <c r="T36" i="187"/>
  <c r="U36" i="187"/>
  <c r="F79" i="187"/>
  <c r="D113" i="187" s="1"/>
  <c r="Q327" i="187"/>
  <c r="Q325" i="187"/>
  <c r="Q326" i="187" s="1"/>
  <c r="C125" i="187"/>
  <c r="C135" i="187" s="1"/>
  <c r="D320" i="187"/>
  <c r="D321" i="187" s="1"/>
  <c r="D97" i="187"/>
  <c r="I274" i="187"/>
  <c r="E269" i="187"/>
  <c r="E268" i="187"/>
  <c r="E270" i="187"/>
  <c r="I273" i="187"/>
  <c r="Q335" i="187"/>
  <c r="Q331" i="187"/>
  <c r="Q336" i="187" s="1"/>
  <c r="F339" i="187"/>
  <c r="I186" i="187" l="1"/>
  <c r="I188" i="187"/>
  <c r="I185" i="187"/>
  <c r="I190" i="187"/>
  <c r="I187" i="187"/>
  <c r="D98" i="187"/>
  <c r="M153" i="187"/>
  <c r="G206" i="187" s="1"/>
  <c r="G209" i="187" s="1"/>
  <c r="C132" i="187"/>
  <c r="I278" i="187"/>
  <c r="I277" i="187"/>
  <c r="G196" i="187"/>
  <c r="G197" i="187"/>
  <c r="G200" i="187"/>
  <c r="G201" i="187"/>
  <c r="G198" i="187"/>
  <c r="G199" i="187"/>
  <c r="H173" i="187"/>
  <c r="M145" i="187"/>
  <c r="H184" i="187" s="1"/>
  <c r="J152" i="187"/>
  <c r="F100" i="187" l="1"/>
  <c r="G211" i="187"/>
  <c r="G210" i="187"/>
  <c r="G208" i="187"/>
  <c r="G207" i="187"/>
  <c r="G212" i="187"/>
  <c r="H179" i="187"/>
  <c r="H175" i="187"/>
  <c r="H177" i="187"/>
  <c r="H176" i="187"/>
  <c r="H178" i="187"/>
  <c r="H174" i="187"/>
  <c r="F195" i="187"/>
  <c r="M152" i="187"/>
  <c r="F206" i="187" s="1"/>
  <c r="H190" i="187"/>
  <c r="H185" i="187"/>
  <c r="H186" i="187"/>
  <c r="H188" i="187"/>
  <c r="H187" i="187"/>
  <c r="H189" i="187"/>
  <c r="H6" i="179"/>
  <c r="H7" i="179"/>
  <c r="H8" i="179"/>
  <c r="H9" i="179"/>
  <c r="H10" i="179"/>
  <c r="H11" i="179"/>
  <c r="C47" i="187" s="1"/>
  <c r="H12" i="179"/>
  <c r="H13" i="179"/>
  <c r="H14" i="179"/>
  <c r="H15" i="179"/>
  <c r="H16" i="179"/>
  <c r="H17" i="179"/>
  <c r="H5" i="179"/>
  <c r="F111" i="187" l="1"/>
  <c r="F110" i="187"/>
  <c r="F107" i="187"/>
  <c r="F106" i="187"/>
  <c r="J154" i="187"/>
  <c r="H195" i="187" s="1"/>
  <c r="D341" i="187"/>
  <c r="C349" i="187"/>
  <c r="B350" i="187"/>
  <c r="C126" i="187"/>
  <c r="C347" i="187"/>
  <c r="C350" i="187"/>
  <c r="B349" i="187"/>
  <c r="B347" i="187"/>
  <c r="C329" i="187"/>
  <c r="F208" i="187"/>
  <c r="F212" i="187"/>
  <c r="F211" i="187"/>
  <c r="F209" i="187"/>
  <c r="F207" i="187"/>
  <c r="F210" i="187"/>
  <c r="F197" i="187"/>
  <c r="F201" i="187"/>
  <c r="F200" i="187"/>
  <c r="F198" i="187"/>
  <c r="F199" i="187"/>
  <c r="F196" i="187"/>
  <c r="H206" i="187" l="1"/>
  <c r="H212" i="187" s="1"/>
  <c r="H197" i="187"/>
  <c r="H198" i="187"/>
  <c r="H196" i="187"/>
  <c r="H199" i="187"/>
  <c r="H200" i="187"/>
  <c r="H201" i="187"/>
  <c r="D349" i="187"/>
  <c r="D347" i="187"/>
  <c r="B351" i="187"/>
  <c r="J144" i="187" s="1"/>
  <c r="C133" i="187"/>
  <c r="C136" i="187"/>
  <c r="J147" i="187" s="1"/>
  <c r="J173" i="187" s="1"/>
  <c r="J143" i="187"/>
  <c r="D350" i="187"/>
  <c r="B356" i="187"/>
  <c r="B357" i="187" s="1"/>
  <c r="D342" i="187"/>
  <c r="H211" i="187" l="1"/>
  <c r="H209" i="187"/>
  <c r="H210" i="187"/>
  <c r="H208" i="187"/>
  <c r="H207" i="187"/>
  <c r="J155" i="187"/>
  <c r="F173" i="187"/>
  <c r="J179" i="187"/>
  <c r="J174" i="187"/>
  <c r="J175" i="187"/>
  <c r="J176" i="187"/>
  <c r="J177" i="187"/>
  <c r="J178" i="187"/>
  <c r="K155" i="187"/>
  <c r="G173" i="187"/>
  <c r="J148" i="187"/>
  <c r="D351" i="187"/>
  <c r="E351" i="187" s="1"/>
  <c r="E341" i="187" l="1"/>
  <c r="F341" i="187" s="1"/>
  <c r="F342" i="187" s="1"/>
  <c r="G342" i="187" s="1"/>
  <c r="K143" i="187" s="1"/>
  <c r="C356" i="187"/>
  <c r="D356" i="187" s="1"/>
  <c r="D357" i="187" s="1"/>
  <c r="E357" i="187" s="1"/>
  <c r="K144" i="187" s="1"/>
  <c r="F177" i="187"/>
  <c r="F174" i="187"/>
  <c r="F175" i="187"/>
  <c r="F176" i="187"/>
  <c r="F178" i="187"/>
  <c r="F179" i="187"/>
  <c r="I195" i="187"/>
  <c r="M155" i="187"/>
  <c r="I206" i="187" s="1"/>
  <c r="K173" i="187"/>
  <c r="G178" i="187"/>
  <c r="G176" i="187"/>
  <c r="G174" i="187"/>
  <c r="G179" i="187"/>
  <c r="G177" i="187"/>
  <c r="G175" i="187"/>
  <c r="I207" i="187" l="1"/>
  <c r="M207" i="187" s="1"/>
  <c r="H224" i="187" s="1"/>
  <c r="I210" i="187"/>
  <c r="M210" i="187" s="1"/>
  <c r="H227" i="187" s="1"/>
  <c r="I208" i="187"/>
  <c r="M208" i="187" s="1"/>
  <c r="H225" i="187" s="1"/>
  <c r="I211" i="187"/>
  <c r="M211" i="187" s="1"/>
  <c r="H228" i="187" s="1"/>
  <c r="I212" i="187"/>
  <c r="M212" i="187" s="1"/>
  <c r="H229" i="187" s="1"/>
  <c r="I209" i="187"/>
  <c r="M209" i="187" s="1"/>
  <c r="H226" i="187" s="1"/>
  <c r="I197" i="187"/>
  <c r="M197" i="187" s="1"/>
  <c r="I200" i="187"/>
  <c r="M200" i="187" s="1"/>
  <c r="I199" i="187"/>
  <c r="M199" i="187" s="1"/>
  <c r="I198" i="187"/>
  <c r="M198" i="187" s="1"/>
  <c r="I201" i="187"/>
  <c r="M201" i="187" s="1"/>
  <c r="I196" i="187"/>
  <c r="M196" i="187" s="1"/>
  <c r="K178" i="187"/>
  <c r="M178" i="187" s="1"/>
  <c r="K179" i="187"/>
  <c r="M179" i="187" s="1"/>
  <c r="K175" i="187"/>
  <c r="M175" i="187" s="1"/>
  <c r="K176" i="187"/>
  <c r="M176" i="187" s="1"/>
  <c r="K177" i="187"/>
  <c r="M177" i="187" s="1"/>
  <c r="K174" i="187"/>
  <c r="M174" i="187" s="1"/>
  <c r="K148" i="187"/>
  <c r="M148" i="187" s="1"/>
  <c r="K184" i="187" s="1"/>
  <c r="M144" i="187"/>
  <c r="G184" i="187" s="1"/>
  <c r="K147" i="187"/>
  <c r="M147" i="187" s="1"/>
  <c r="J184" i="187" s="1"/>
  <c r="M143" i="187"/>
  <c r="F184" i="187" s="1"/>
  <c r="F239" i="187" l="1"/>
  <c r="H239" i="187" s="1"/>
  <c r="J239" i="187" s="1"/>
  <c r="F277" i="187"/>
  <c r="H277" i="187" s="1"/>
  <c r="L277" i="187" s="1"/>
  <c r="F228" i="187"/>
  <c r="H308" i="187"/>
  <c r="M274" i="187"/>
  <c r="K236" i="187"/>
  <c r="F185" i="187"/>
  <c r="F186" i="187"/>
  <c r="F188" i="187"/>
  <c r="F190" i="187"/>
  <c r="F189" i="187"/>
  <c r="F187" i="187"/>
  <c r="F236" i="187"/>
  <c r="H236" i="187" s="1"/>
  <c r="J236" i="187" s="1"/>
  <c r="H305" i="187"/>
  <c r="F225" i="187"/>
  <c r="F274" i="187"/>
  <c r="H274" i="187" s="1"/>
  <c r="L274" i="187" s="1"/>
  <c r="J189" i="187"/>
  <c r="J190" i="187"/>
  <c r="J187" i="187"/>
  <c r="J186" i="187"/>
  <c r="J188" i="187"/>
  <c r="J185" i="187"/>
  <c r="F240" i="187"/>
  <c r="H240" i="187" s="1"/>
  <c r="J240" i="187" s="1"/>
  <c r="F278" i="187"/>
  <c r="H278" i="187" s="1"/>
  <c r="L278" i="187" s="1"/>
  <c r="F229" i="187"/>
  <c r="H309" i="187"/>
  <c r="F227" i="187"/>
  <c r="F276" i="187"/>
  <c r="H276" i="187" s="1"/>
  <c r="L276" i="187" s="1"/>
  <c r="F238" i="187"/>
  <c r="H238" i="187" s="1"/>
  <c r="J238" i="187" s="1"/>
  <c r="H307" i="187"/>
  <c r="M276" i="187"/>
  <c r="K238" i="187"/>
  <c r="G188" i="187"/>
  <c r="G187" i="187"/>
  <c r="G190" i="187"/>
  <c r="G186" i="187"/>
  <c r="G185" i="187"/>
  <c r="G189" i="187"/>
  <c r="F226" i="187"/>
  <c r="H306" i="187"/>
  <c r="F275" i="187"/>
  <c r="H275" i="187" s="1"/>
  <c r="L275" i="187" s="1"/>
  <c r="F237" i="187"/>
  <c r="H237" i="187" s="1"/>
  <c r="J237" i="187" s="1"/>
  <c r="K235" i="187"/>
  <c r="M273" i="187"/>
  <c r="M278" i="187"/>
  <c r="K240" i="187"/>
  <c r="K239" i="187"/>
  <c r="M277" i="187"/>
  <c r="K185" i="187"/>
  <c r="K189" i="187"/>
  <c r="K186" i="187"/>
  <c r="K188" i="187"/>
  <c r="K190" i="187"/>
  <c r="K187" i="187"/>
  <c r="F224" i="187"/>
  <c r="F235" i="187"/>
  <c r="H235" i="187" s="1"/>
  <c r="J235" i="187" s="1"/>
  <c r="F273" i="187"/>
  <c r="H273" i="187" s="1"/>
  <c r="L273" i="187" s="1"/>
  <c r="H304" i="187"/>
  <c r="M275" i="187"/>
  <c r="K237" i="187"/>
  <c r="M240" i="187" l="1"/>
  <c r="N240" i="187" s="1"/>
  <c r="M238" i="187"/>
  <c r="N238" i="187" s="1"/>
  <c r="N274" i="187"/>
  <c r="O274" i="187" s="1"/>
  <c r="N278" i="187"/>
  <c r="O278" i="187" s="1"/>
  <c r="N277" i="187"/>
  <c r="O277" i="187" s="1"/>
  <c r="M237" i="187"/>
  <c r="N237" i="187" s="1"/>
  <c r="M186" i="187"/>
  <c r="G225" i="187" s="1"/>
  <c r="J225" i="187" s="1"/>
  <c r="K225" i="187" s="1"/>
  <c r="E305" i="187" s="1"/>
  <c r="M239" i="187"/>
  <c r="N239" i="187" s="1"/>
  <c r="N275" i="187"/>
  <c r="O275" i="187" s="1"/>
  <c r="M236" i="187"/>
  <c r="N236" i="187" s="1"/>
  <c r="M190" i="187"/>
  <c r="G229" i="187" s="1"/>
  <c r="J229" i="187" s="1"/>
  <c r="K229" i="187" s="1"/>
  <c r="M229" i="187" s="1"/>
  <c r="N229" i="187" s="1"/>
  <c r="M188" i="187"/>
  <c r="G227" i="187" s="1"/>
  <c r="I227" i="187" s="1"/>
  <c r="M189" i="187"/>
  <c r="G228" i="187" s="1"/>
  <c r="I228" i="187" s="1"/>
  <c r="N276" i="187"/>
  <c r="O276" i="187" s="1"/>
  <c r="N273" i="187"/>
  <c r="O273" i="187" s="1"/>
  <c r="M235" i="187"/>
  <c r="M187" i="187"/>
  <c r="G226" i="187" s="1"/>
  <c r="M185" i="187"/>
  <c r="G224" i="187" s="1"/>
  <c r="I224" i="187" s="1"/>
  <c r="M225" i="187" l="1"/>
  <c r="N225" i="187" s="1"/>
  <c r="J228" i="187"/>
  <c r="K228" i="187" s="1"/>
  <c r="E308" i="187" s="1"/>
  <c r="J227" i="187"/>
  <c r="K227" i="187" s="1"/>
  <c r="M227" i="187" s="1"/>
  <c r="N227" i="187" s="1"/>
  <c r="I225" i="187"/>
  <c r="E309" i="187"/>
  <c r="I309" i="187" s="1"/>
  <c r="I229" i="187"/>
  <c r="J226" i="187"/>
  <c r="K226" i="187" s="1"/>
  <c r="I226" i="187"/>
  <c r="N235" i="187"/>
  <c r="L241" i="187"/>
  <c r="J224" i="187"/>
  <c r="K224" i="187" s="1"/>
  <c r="I305" i="187"/>
  <c r="F305" i="187"/>
  <c r="E307" i="187" l="1"/>
  <c r="M228" i="187"/>
  <c r="N228" i="187" s="1"/>
  <c r="F309" i="187"/>
  <c r="G309" i="187" s="1"/>
  <c r="J309" i="187" s="1"/>
  <c r="K309" i="187" s="1"/>
  <c r="M224" i="187"/>
  <c r="N224" i="187" s="1"/>
  <c r="E304" i="187"/>
  <c r="I307" i="187"/>
  <c r="F307" i="187"/>
  <c r="I308" i="187"/>
  <c r="F308" i="187"/>
  <c r="E306" i="187"/>
  <c r="M226" i="187"/>
  <c r="N226" i="187" s="1"/>
  <c r="L305" i="187"/>
  <c r="J305" i="187"/>
  <c r="G305" i="187"/>
  <c r="K305" i="187"/>
  <c r="N305" i="187" l="1"/>
  <c r="O305" i="187" s="1"/>
  <c r="L309" i="187"/>
  <c r="N309" i="187" s="1"/>
  <c r="O309" i="187" s="1"/>
  <c r="J307" i="187"/>
  <c r="G307" i="187"/>
  <c r="K307" i="187"/>
  <c r="L307" i="187"/>
  <c r="I304" i="187"/>
  <c r="F304" i="187"/>
  <c r="G308" i="187"/>
  <c r="J308" i="187" s="1"/>
  <c r="L308" i="187" s="1"/>
  <c r="F306" i="187"/>
  <c r="I306" i="187"/>
  <c r="K308" i="187" l="1"/>
  <c r="N308" i="187" s="1"/>
  <c r="O308" i="187" s="1"/>
  <c r="G306" i="187"/>
  <c r="L306" i="187"/>
  <c r="J306" i="187"/>
  <c r="K306" i="187"/>
  <c r="N306" i="187" s="1"/>
  <c r="O306" i="187" s="1"/>
  <c r="N307" i="187"/>
  <c r="O307" i="187" s="1"/>
  <c r="K304" i="187"/>
  <c r="J304" i="187"/>
  <c r="L304" i="187"/>
  <c r="G304" i="187"/>
  <c r="N304" i="187" l="1"/>
  <c r="O304" i="187" s="1"/>
  <c r="L34" i="131" l="1"/>
  <c r="N34" i="131" s="1"/>
  <c r="L33" i="131"/>
  <c r="N33" i="131" s="1"/>
  <c r="N32" i="131"/>
  <c r="L32" i="131"/>
  <c r="L31" i="131"/>
  <c r="N31" i="131" s="1"/>
  <c r="D25" i="131"/>
  <c r="F25" i="131" s="1"/>
  <c r="C25" i="131"/>
  <c r="D24" i="131"/>
  <c r="F24" i="131" s="1"/>
  <c r="D23" i="131"/>
  <c r="F23" i="131" s="1"/>
  <c r="C23" i="131"/>
  <c r="D22" i="131"/>
  <c r="F22" i="131" s="1"/>
  <c r="F21" i="131"/>
  <c r="D21" i="131"/>
  <c r="C21" i="131"/>
  <c r="D20" i="131"/>
  <c r="F20" i="131" s="1"/>
  <c r="C20" i="131"/>
  <c r="F19" i="131"/>
  <c r="I19" i="131" s="1"/>
  <c r="D19" i="131"/>
  <c r="C19" i="131" s="1"/>
  <c r="D18" i="131"/>
  <c r="F18" i="131" s="1"/>
  <c r="C18" i="131"/>
  <c r="D17" i="131"/>
  <c r="F17" i="131" s="1"/>
  <c r="C17" i="131"/>
  <c r="H16" i="131"/>
  <c r="F16" i="131"/>
  <c r="D16" i="131"/>
  <c r="C16" i="131"/>
  <c r="D15" i="131"/>
  <c r="F15" i="131" s="1"/>
  <c r="C15" i="131"/>
  <c r="D14" i="131"/>
  <c r="F14" i="131" s="1"/>
  <c r="C14" i="131"/>
  <c r="D13" i="131"/>
  <c r="F13" i="131" s="1"/>
  <c r="D12" i="131"/>
  <c r="F12" i="131" s="1"/>
  <c r="D11" i="131"/>
  <c r="F11" i="131" s="1"/>
  <c r="I10" i="131"/>
  <c r="F10" i="131"/>
  <c r="H10" i="131" s="1"/>
  <c r="D10" i="131"/>
  <c r="C10" i="131" s="1"/>
  <c r="F9" i="131"/>
  <c r="H9" i="131" s="1"/>
  <c r="C9" i="131"/>
  <c r="J5" i="131"/>
  <c r="K5" i="131" s="1"/>
  <c r="L5" i="131" s="1"/>
  <c r="M5" i="131" s="1"/>
  <c r="N5" i="131" s="1"/>
  <c r="O5" i="131" s="1"/>
  <c r="I5" i="131"/>
  <c r="N112" i="129"/>
  <c r="Q112" i="129" s="1"/>
  <c r="R112" i="129" s="1"/>
  <c r="M112" i="129"/>
  <c r="K45" i="129" s="1"/>
  <c r="J112" i="129"/>
  <c r="L112" i="129" s="1"/>
  <c r="I112" i="129"/>
  <c r="K112" i="129" s="1"/>
  <c r="Q111" i="129"/>
  <c r="R111" i="129" s="1"/>
  <c r="N111" i="129"/>
  <c r="M111" i="129"/>
  <c r="J111" i="129"/>
  <c r="L111" i="129" s="1"/>
  <c r="I111" i="129"/>
  <c r="K111" i="129" s="1"/>
  <c r="N110" i="129"/>
  <c r="Q110" i="129" s="1"/>
  <c r="R110" i="129" s="1"/>
  <c r="M110" i="129"/>
  <c r="J110" i="129"/>
  <c r="L110" i="129" s="1"/>
  <c r="I110" i="129"/>
  <c r="K110" i="129" s="1"/>
  <c r="N109" i="129"/>
  <c r="Q109" i="129" s="1"/>
  <c r="R109" i="129" s="1"/>
  <c r="M109" i="129"/>
  <c r="K42" i="129" s="1"/>
  <c r="K109" i="129"/>
  <c r="J109" i="129"/>
  <c r="L109" i="129" s="1"/>
  <c r="I109" i="129"/>
  <c r="N108" i="129"/>
  <c r="Q108" i="129" s="1"/>
  <c r="R108" i="129" s="1"/>
  <c r="M108" i="129"/>
  <c r="K41" i="129" s="1"/>
  <c r="L108" i="129"/>
  <c r="J108" i="129"/>
  <c r="I108" i="129"/>
  <c r="K108" i="129" s="1"/>
  <c r="N107" i="129"/>
  <c r="Q107" i="129" s="1"/>
  <c r="R107" i="129" s="1"/>
  <c r="M107" i="129"/>
  <c r="K40" i="129" s="1"/>
  <c r="J107" i="129"/>
  <c r="L107" i="129" s="1"/>
  <c r="I107" i="129"/>
  <c r="K107" i="129" s="1"/>
  <c r="Q106" i="129"/>
  <c r="R106" i="129" s="1"/>
  <c r="N106" i="129"/>
  <c r="M106" i="129"/>
  <c r="J106" i="129"/>
  <c r="L106" i="129" s="1"/>
  <c r="I106" i="129"/>
  <c r="K106" i="129" s="1"/>
  <c r="N105" i="129"/>
  <c r="Q105" i="129" s="1"/>
  <c r="R105" i="129" s="1"/>
  <c r="M105" i="129"/>
  <c r="J105" i="129"/>
  <c r="L105" i="129" s="1"/>
  <c r="I105" i="129"/>
  <c r="K105" i="129" s="1"/>
  <c r="N104" i="129"/>
  <c r="Q104" i="129" s="1"/>
  <c r="R104" i="129" s="1"/>
  <c r="M104" i="129"/>
  <c r="K37" i="129" s="1"/>
  <c r="K104" i="129"/>
  <c r="J104" i="129"/>
  <c r="L104" i="129" s="1"/>
  <c r="I104" i="129"/>
  <c r="N103" i="129"/>
  <c r="Q103" i="129" s="1"/>
  <c r="R103" i="129" s="1"/>
  <c r="M103" i="129"/>
  <c r="L103" i="129"/>
  <c r="J103" i="129"/>
  <c r="I103" i="129"/>
  <c r="K103" i="129" s="1"/>
  <c r="N102" i="129"/>
  <c r="Q102" i="129" s="1"/>
  <c r="R102" i="129" s="1"/>
  <c r="M102" i="129"/>
  <c r="K35" i="129" s="1"/>
  <c r="J102" i="129"/>
  <c r="L102" i="129" s="1"/>
  <c r="I102" i="129"/>
  <c r="K102" i="129" s="1"/>
  <c r="Q101" i="129"/>
  <c r="R101" i="129" s="1"/>
  <c r="N101" i="129"/>
  <c r="M101" i="129"/>
  <c r="J101" i="129"/>
  <c r="L101" i="129" s="1"/>
  <c r="I101" i="129"/>
  <c r="K101" i="129" s="1"/>
  <c r="N100" i="129"/>
  <c r="Q100" i="129" s="1"/>
  <c r="R100" i="129" s="1"/>
  <c r="M100" i="129"/>
  <c r="J100" i="129"/>
  <c r="L100" i="129" s="1"/>
  <c r="I100" i="129"/>
  <c r="K100" i="129" s="1"/>
  <c r="N99" i="129"/>
  <c r="Q99" i="129" s="1"/>
  <c r="R99" i="129" s="1"/>
  <c r="M99" i="129"/>
  <c r="K99" i="129"/>
  <c r="J99" i="129"/>
  <c r="L99" i="129" s="1"/>
  <c r="I99" i="129"/>
  <c r="N98" i="129"/>
  <c r="Q98" i="129" s="1"/>
  <c r="R98" i="129" s="1"/>
  <c r="M98" i="129"/>
  <c r="K31" i="129" s="1"/>
  <c r="L98" i="129"/>
  <c r="J98" i="129"/>
  <c r="I98" i="129"/>
  <c r="K98" i="129" s="1"/>
  <c r="D94" i="129"/>
  <c r="E94" i="129" s="1"/>
  <c r="F94" i="129" s="1"/>
  <c r="G94" i="129" s="1"/>
  <c r="H94" i="129" s="1"/>
  <c r="I94" i="129" s="1"/>
  <c r="J94" i="129" s="1"/>
  <c r="K94" i="129" s="1"/>
  <c r="L94" i="129" s="1"/>
  <c r="M94" i="129" s="1"/>
  <c r="N94" i="129" s="1"/>
  <c r="O94" i="129" s="1"/>
  <c r="P94" i="129" s="1"/>
  <c r="Q94" i="129" s="1"/>
  <c r="R94" i="129" s="1"/>
  <c r="S94" i="129" s="1"/>
  <c r="T94" i="129" s="1"/>
  <c r="C94" i="129"/>
  <c r="B75" i="129"/>
  <c r="B76" i="129" s="1"/>
  <c r="D67" i="129"/>
  <c r="D66" i="129"/>
  <c r="D65" i="129"/>
  <c r="D64" i="129"/>
  <c r="D63" i="129"/>
  <c r="D62" i="129"/>
  <c r="D61" i="129"/>
  <c r="D60" i="129"/>
  <c r="AO59" i="129"/>
  <c r="AM59" i="129"/>
  <c r="D59" i="129"/>
  <c r="AO58" i="129"/>
  <c r="AM58" i="129"/>
  <c r="D58" i="129"/>
  <c r="AO57" i="129"/>
  <c r="AM57" i="129"/>
  <c r="G57" i="129"/>
  <c r="D57" i="129"/>
  <c r="AO56" i="129"/>
  <c r="AM56" i="129"/>
  <c r="D56" i="129"/>
  <c r="AO55" i="129"/>
  <c r="AM55" i="129"/>
  <c r="D55" i="129"/>
  <c r="AO54" i="129"/>
  <c r="AM54" i="129"/>
  <c r="D54" i="129"/>
  <c r="B54" i="129"/>
  <c r="B55" i="129" s="1"/>
  <c r="K53" i="129"/>
  <c r="J53" i="129"/>
  <c r="H53" i="129"/>
  <c r="D53" i="129"/>
  <c r="B53" i="129"/>
  <c r="F53" i="129" s="1"/>
  <c r="AJ49" i="129"/>
  <c r="AJ48" i="129"/>
  <c r="K48" i="129"/>
  <c r="AI47" i="129"/>
  <c r="AG47" i="129"/>
  <c r="K47" i="129"/>
  <c r="AI46" i="129"/>
  <c r="K46" i="129"/>
  <c r="AP45" i="129"/>
  <c r="AG45" i="129" s="1"/>
  <c r="AN45" i="129"/>
  <c r="AI45" i="129"/>
  <c r="AP44" i="129"/>
  <c r="AO44" i="129"/>
  <c r="AO45" i="129" s="1"/>
  <c r="AG46" i="129" s="1"/>
  <c r="AN44" i="129"/>
  <c r="AM44" i="129"/>
  <c r="AM45" i="129" s="1"/>
  <c r="AG48" i="129" s="1"/>
  <c r="AL44" i="129"/>
  <c r="AL45" i="129" s="1"/>
  <c r="AG49" i="129" s="1"/>
  <c r="K44" i="129"/>
  <c r="K43" i="129"/>
  <c r="AJ42" i="129"/>
  <c r="AI42" i="129"/>
  <c r="AK42" i="129" s="1"/>
  <c r="AJ41" i="129"/>
  <c r="AI41" i="129"/>
  <c r="AK41" i="129" s="1"/>
  <c r="AK40" i="129"/>
  <c r="AJ40" i="129"/>
  <c r="AI40" i="129"/>
  <c r="AJ39" i="129"/>
  <c r="AI39" i="129"/>
  <c r="AK39" i="129" s="1"/>
  <c r="K39" i="129"/>
  <c r="AK38" i="129"/>
  <c r="AJ38" i="129"/>
  <c r="AI38" i="129"/>
  <c r="K38" i="129"/>
  <c r="K36" i="129"/>
  <c r="G35" i="129"/>
  <c r="K34" i="129"/>
  <c r="G34" i="129"/>
  <c r="G56" i="129" s="1"/>
  <c r="B34" i="129"/>
  <c r="B35" i="129" s="1"/>
  <c r="B36" i="129" s="1"/>
  <c r="B37" i="129" s="1"/>
  <c r="B38" i="129" s="1"/>
  <c r="B39" i="129" s="1"/>
  <c r="B40" i="129" s="1"/>
  <c r="B41" i="129" s="1"/>
  <c r="B42" i="129" s="1"/>
  <c r="B43" i="129" s="1"/>
  <c r="B44" i="129" s="1"/>
  <c r="B45" i="129" s="1"/>
  <c r="B46" i="129" s="1"/>
  <c r="B47" i="129" s="1"/>
  <c r="B48" i="129" s="1"/>
  <c r="K33" i="129"/>
  <c r="B33" i="129"/>
  <c r="K32" i="129"/>
  <c r="B32" i="129"/>
  <c r="B31" i="129"/>
  <c r="E26" i="129"/>
  <c r="F26" i="129" s="1"/>
  <c r="G26" i="129" s="1"/>
  <c r="H26" i="129" s="1"/>
  <c r="I26" i="129" s="1"/>
  <c r="J26" i="129" s="1"/>
  <c r="K26" i="129" s="1"/>
  <c r="L26" i="129" s="1"/>
  <c r="M26" i="129" s="1"/>
  <c r="N26" i="129" s="1"/>
  <c r="O26" i="129" s="1"/>
  <c r="P26" i="129" s="1"/>
  <c r="Q26" i="129" s="1"/>
  <c r="R26" i="129" s="1"/>
  <c r="S26" i="129" s="1"/>
  <c r="T26" i="129" s="1"/>
  <c r="U26" i="129" s="1"/>
  <c r="D26" i="129"/>
  <c r="AD21" i="129"/>
  <c r="AB21" i="129"/>
  <c r="AA21" i="129"/>
  <c r="Z21" i="129"/>
  <c r="AD20" i="129"/>
  <c r="AB20" i="129"/>
  <c r="AA20" i="129"/>
  <c r="AD19" i="129"/>
  <c r="AB19" i="129"/>
  <c r="AA19" i="129"/>
  <c r="Z19" i="129"/>
  <c r="AD18" i="129"/>
  <c r="AB18" i="129"/>
  <c r="AA18" i="129"/>
  <c r="Z18" i="129"/>
  <c r="AD17" i="129"/>
  <c r="AB17" i="129"/>
  <c r="AA17" i="129"/>
  <c r="Z17" i="129"/>
  <c r="AD16" i="129"/>
  <c r="AB16" i="129"/>
  <c r="AA16" i="129"/>
  <c r="Z16" i="129"/>
  <c r="AD15" i="129"/>
  <c r="AC15" i="129"/>
  <c r="G39" i="129" s="1"/>
  <c r="G61" i="129" s="1"/>
  <c r="AB15" i="129"/>
  <c r="AA15" i="129"/>
  <c r="Z15" i="129"/>
  <c r="T15" i="129"/>
  <c r="AD14" i="129"/>
  <c r="AC14" i="129"/>
  <c r="G38" i="129" s="1"/>
  <c r="G60" i="129" s="1"/>
  <c r="AB14" i="129"/>
  <c r="AA14" i="129"/>
  <c r="Z14" i="129"/>
  <c r="AD13" i="129"/>
  <c r="AC13" i="129"/>
  <c r="G37" i="129" s="1"/>
  <c r="G59" i="129" s="1"/>
  <c r="AB13" i="129"/>
  <c r="AA13" i="129"/>
  <c r="Z13" i="129"/>
  <c r="AD12" i="129"/>
  <c r="AC12" i="129"/>
  <c r="G36" i="129" s="1"/>
  <c r="G58" i="129" s="1"/>
  <c r="AB12" i="129"/>
  <c r="AA12" i="129"/>
  <c r="Z12" i="129"/>
  <c r="AD11" i="129"/>
  <c r="AC11" i="129"/>
  <c r="AB11" i="129"/>
  <c r="AA11" i="129"/>
  <c r="Z11" i="129"/>
  <c r="AD10" i="129"/>
  <c r="AC10" i="129"/>
  <c r="AB10" i="129"/>
  <c r="AA10" i="129"/>
  <c r="Z10" i="129"/>
  <c r="AD9" i="129"/>
  <c r="AC9" i="129"/>
  <c r="G33" i="129" s="1"/>
  <c r="G55" i="129" s="1"/>
  <c r="AB9" i="129"/>
  <c r="AA9" i="129"/>
  <c r="Z9" i="129"/>
  <c r="AD8" i="129"/>
  <c r="AC8" i="129"/>
  <c r="G32" i="129" s="1"/>
  <c r="G54" i="129" s="1"/>
  <c r="AB8" i="129"/>
  <c r="AA8" i="129"/>
  <c r="Z8" i="129"/>
  <c r="AD7" i="129"/>
  <c r="AC7" i="129"/>
  <c r="G31" i="129" s="1"/>
  <c r="G53" i="129" s="1"/>
  <c r="AB7" i="129"/>
  <c r="AA7" i="129"/>
  <c r="Z7" i="129"/>
  <c r="B7" i="129"/>
  <c r="E53" i="129" s="1"/>
  <c r="I53" i="129" s="1"/>
  <c r="T15" i="128"/>
  <c r="S15" i="128"/>
  <c r="R15" i="128"/>
  <c r="Q15" i="128"/>
  <c r="P15" i="128"/>
  <c r="O15" i="128"/>
  <c r="N15" i="128"/>
  <c r="M15" i="128"/>
  <c r="L15" i="128"/>
  <c r="K15" i="128"/>
  <c r="J15" i="128"/>
  <c r="I15" i="128"/>
  <c r="H15" i="128"/>
  <c r="G15" i="128"/>
  <c r="F15" i="128"/>
  <c r="E15" i="128"/>
  <c r="D15" i="128"/>
  <c r="C15" i="128"/>
  <c r="B15" i="128"/>
  <c r="T14" i="128"/>
  <c r="S14" i="128"/>
  <c r="R14" i="128"/>
  <c r="Q14" i="128"/>
  <c r="P14" i="128"/>
  <c r="O14" i="128"/>
  <c r="N14" i="128"/>
  <c r="M14" i="128"/>
  <c r="L14" i="128"/>
  <c r="K14" i="128"/>
  <c r="J14" i="128"/>
  <c r="I14" i="128"/>
  <c r="H14" i="128"/>
  <c r="G14" i="128"/>
  <c r="F14" i="128"/>
  <c r="E14" i="128"/>
  <c r="D14" i="128"/>
  <c r="C14" i="128"/>
  <c r="B14" i="128"/>
  <c r="T13" i="128"/>
  <c r="S13" i="128"/>
  <c r="R13" i="128"/>
  <c r="Q13" i="128"/>
  <c r="P13" i="128"/>
  <c r="O13" i="128"/>
  <c r="N13" i="128"/>
  <c r="M13" i="128"/>
  <c r="L13" i="128"/>
  <c r="K13" i="128"/>
  <c r="J13" i="128"/>
  <c r="I13" i="128"/>
  <c r="H13" i="128"/>
  <c r="G13" i="128"/>
  <c r="F13" i="128"/>
  <c r="E13" i="128"/>
  <c r="D13" i="128"/>
  <c r="C13" i="128"/>
  <c r="B13" i="128"/>
  <c r="T12" i="128"/>
  <c r="S12" i="128"/>
  <c r="R12" i="128"/>
  <c r="Q12" i="128"/>
  <c r="P12" i="128"/>
  <c r="O12" i="128"/>
  <c r="N12" i="128"/>
  <c r="M12" i="128"/>
  <c r="L12" i="128"/>
  <c r="K12" i="128"/>
  <c r="J12" i="128"/>
  <c r="I12" i="128"/>
  <c r="H12" i="128"/>
  <c r="G12" i="128"/>
  <c r="F12" i="128"/>
  <c r="E12" i="128"/>
  <c r="D12" i="128"/>
  <c r="C12" i="128"/>
  <c r="B12" i="128"/>
  <c r="T11" i="128"/>
  <c r="S11" i="128"/>
  <c r="R11" i="128"/>
  <c r="Q11" i="128"/>
  <c r="P11" i="128"/>
  <c r="O11" i="128"/>
  <c r="N11" i="128"/>
  <c r="M11" i="128"/>
  <c r="L11" i="128"/>
  <c r="K11" i="128"/>
  <c r="J11" i="128"/>
  <c r="I11" i="128"/>
  <c r="H11" i="128"/>
  <c r="G11" i="128"/>
  <c r="F11" i="128"/>
  <c r="E11" i="128"/>
  <c r="D11" i="128"/>
  <c r="C11" i="128"/>
  <c r="B11" i="128"/>
  <c r="T10" i="128"/>
  <c r="S10" i="128"/>
  <c r="R10" i="128"/>
  <c r="Q10" i="128"/>
  <c r="P10" i="128"/>
  <c r="O10" i="128"/>
  <c r="N10" i="128"/>
  <c r="M10" i="128"/>
  <c r="L10" i="128"/>
  <c r="K10" i="128"/>
  <c r="J10" i="128"/>
  <c r="I10" i="128"/>
  <c r="H10" i="128"/>
  <c r="G10" i="128"/>
  <c r="F10" i="128"/>
  <c r="E10" i="128"/>
  <c r="D10" i="128"/>
  <c r="C10" i="128"/>
  <c r="B10" i="128"/>
  <c r="T9" i="128"/>
  <c r="S9" i="128"/>
  <c r="R9" i="128"/>
  <c r="Q9" i="128"/>
  <c r="P9" i="128"/>
  <c r="O9" i="128"/>
  <c r="N9" i="128"/>
  <c r="M9" i="128"/>
  <c r="L9" i="128"/>
  <c r="K9" i="128"/>
  <c r="J9" i="128"/>
  <c r="I9" i="128"/>
  <c r="H9" i="128"/>
  <c r="G9" i="128"/>
  <c r="F9" i="128"/>
  <c r="E9" i="128"/>
  <c r="D9" i="128"/>
  <c r="C9" i="128"/>
  <c r="B9" i="128"/>
  <c r="T8" i="128"/>
  <c r="S8" i="128"/>
  <c r="R8" i="128"/>
  <c r="Q8" i="128"/>
  <c r="P8" i="128"/>
  <c r="O8" i="128"/>
  <c r="N8" i="128"/>
  <c r="M8" i="128"/>
  <c r="L8" i="128"/>
  <c r="K8" i="128"/>
  <c r="J8" i="128"/>
  <c r="I8" i="128"/>
  <c r="H8" i="128"/>
  <c r="G8" i="128"/>
  <c r="F8" i="128"/>
  <c r="E8" i="128"/>
  <c r="D8" i="128"/>
  <c r="C8" i="128"/>
  <c r="B8" i="128"/>
  <c r="T7" i="128"/>
  <c r="S7" i="128"/>
  <c r="R7" i="128"/>
  <c r="Q7" i="128"/>
  <c r="P7" i="128"/>
  <c r="O7" i="128"/>
  <c r="N7" i="128"/>
  <c r="M7" i="128"/>
  <c r="L7" i="128"/>
  <c r="K7" i="128"/>
  <c r="J7" i="128"/>
  <c r="I7" i="128"/>
  <c r="H7" i="128"/>
  <c r="G7" i="128"/>
  <c r="F7" i="128"/>
  <c r="E7" i="128"/>
  <c r="D7" i="128"/>
  <c r="C7" i="128"/>
  <c r="B7" i="128"/>
  <c r="T6" i="128"/>
  <c r="S6" i="128"/>
  <c r="R6" i="128"/>
  <c r="Q6" i="128"/>
  <c r="P6" i="128"/>
  <c r="O6" i="128"/>
  <c r="N6" i="128"/>
  <c r="M6" i="128"/>
  <c r="L6" i="128"/>
  <c r="K6" i="128"/>
  <c r="J6" i="128"/>
  <c r="I6" i="128"/>
  <c r="H6" i="128"/>
  <c r="G6" i="128"/>
  <c r="F6" i="128"/>
  <c r="E6" i="128"/>
  <c r="D6" i="128"/>
  <c r="C6" i="128"/>
  <c r="B6" i="128"/>
  <c r="T5" i="128"/>
  <c r="S5" i="128"/>
  <c r="R5" i="128"/>
  <c r="Q5" i="128"/>
  <c r="P5" i="128"/>
  <c r="O5" i="128"/>
  <c r="N5" i="128"/>
  <c r="M5" i="128"/>
  <c r="L5" i="128"/>
  <c r="K5" i="128"/>
  <c r="J5" i="128"/>
  <c r="I5" i="128"/>
  <c r="H5" i="128"/>
  <c r="G5" i="128"/>
  <c r="F5" i="128"/>
  <c r="E5" i="128"/>
  <c r="D5" i="128"/>
  <c r="C5" i="128"/>
  <c r="B5" i="128"/>
  <c r="T4" i="128"/>
  <c r="S4" i="128"/>
  <c r="R4" i="128"/>
  <c r="Q4" i="128"/>
  <c r="P4" i="128"/>
  <c r="O4" i="128"/>
  <c r="N4" i="128"/>
  <c r="M4" i="128"/>
  <c r="L4" i="128"/>
  <c r="K4" i="128"/>
  <c r="J4" i="128"/>
  <c r="I4" i="128"/>
  <c r="H4" i="128"/>
  <c r="G4" i="128"/>
  <c r="F4" i="128"/>
  <c r="E4" i="128"/>
  <c r="D4" i="128"/>
  <c r="C4" i="128"/>
  <c r="B4" i="128"/>
  <c r="I18" i="131" l="1"/>
  <c r="H18" i="131"/>
  <c r="I20" i="131"/>
  <c r="H20" i="131"/>
  <c r="I22" i="131"/>
  <c r="H22" i="131"/>
  <c r="P11" i="131"/>
  <c r="H11" i="131"/>
  <c r="H27" i="131" s="1"/>
  <c r="O11" i="131"/>
  <c r="I11" i="131"/>
  <c r="I23" i="131"/>
  <c r="H23" i="131"/>
  <c r="O12" i="131"/>
  <c r="I12" i="131"/>
  <c r="H12" i="131"/>
  <c r="O15" i="131"/>
  <c r="I15" i="131"/>
  <c r="H15" i="131"/>
  <c r="I24" i="131"/>
  <c r="H24" i="131"/>
  <c r="I25" i="131"/>
  <c r="H25" i="131"/>
  <c r="O25" i="131"/>
  <c r="P25" i="131"/>
  <c r="G76" i="129"/>
  <c r="B77" i="129"/>
  <c r="P12" i="131"/>
  <c r="O10" i="131"/>
  <c r="P10" i="131"/>
  <c r="O16" i="131"/>
  <c r="P14" i="131"/>
  <c r="O14" i="131"/>
  <c r="I14" i="131"/>
  <c r="H14" i="131"/>
  <c r="P13" i="131"/>
  <c r="O13" i="131"/>
  <c r="I13" i="131"/>
  <c r="H13" i="131"/>
  <c r="B56" i="129"/>
  <c r="O17" i="131"/>
  <c r="I17" i="131"/>
  <c r="H17" i="131"/>
  <c r="C22" i="131"/>
  <c r="I16" i="131"/>
  <c r="H19" i="131"/>
  <c r="C11" i="131"/>
  <c r="E54" i="129"/>
  <c r="I54" i="129" s="1"/>
  <c r="F54" i="129"/>
  <c r="C54" i="129"/>
  <c r="C12" i="131"/>
  <c r="I9" i="131"/>
  <c r="G75" i="129"/>
  <c r="O9" i="131"/>
  <c r="C24" i="131"/>
  <c r="J75" i="129"/>
  <c r="P9" i="131"/>
  <c r="B8" i="129"/>
  <c r="C53" i="129"/>
  <c r="K75" i="129"/>
  <c r="H21" i="131"/>
  <c r="C13" i="131"/>
  <c r="I21" i="131"/>
  <c r="P17" i="131" l="1"/>
  <c r="P16" i="131"/>
  <c r="P15" i="131"/>
  <c r="H54" i="129"/>
  <c r="B9" i="129"/>
  <c r="K54" i="129"/>
  <c r="F55" i="129"/>
  <c r="H55" i="129"/>
  <c r="J54" i="129"/>
  <c r="J76" i="129" s="1"/>
  <c r="K55" i="129"/>
  <c r="I27" i="131"/>
  <c r="J55" i="129"/>
  <c r="P18" i="131"/>
  <c r="O18" i="131"/>
  <c r="B78" i="129"/>
  <c r="B57" i="129"/>
  <c r="K76" i="129"/>
  <c r="B10" i="129" l="1"/>
  <c r="C55" i="129"/>
  <c r="H56" i="129"/>
  <c r="E56" i="129"/>
  <c r="I56" i="129" s="1"/>
  <c r="J56" i="129"/>
  <c r="K56" i="129"/>
  <c r="K78" i="129" s="1"/>
  <c r="O19" i="131"/>
  <c r="B79" i="129"/>
  <c r="J78" i="129"/>
  <c r="G78" i="129"/>
  <c r="B58" i="129"/>
  <c r="G77" i="129"/>
  <c r="J77" i="129"/>
  <c r="K77" i="129"/>
  <c r="E55" i="129"/>
  <c r="I55" i="129" s="1"/>
  <c r="B59" i="129" l="1"/>
  <c r="P19" i="131"/>
  <c r="B11" i="129"/>
  <c r="F56" i="129"/>
  <c r="C56" i="129"/>
  <c r="B80" i="129"/>
  <c r="B81" i="129" l="1"/>
  <c r="B12" i="129"/>
  <c r="B13" i="129" s="1"/>
  <c r="B14" i="129" s="1"/>
  <c r="B15" i="129" s="1"/>
  <c r="B16" i="129" s="1"/>
  <c r="B17" i="129" s="1"/>
  <c r="B18" i="129" s="1"/>
  <c r="B19" i="129" s="1"/>
  <c r="B20" i="129" s="1"/>
  <c r="B21" i="129" s="1"/>
  <c r="B22" i="129" s="1"/>
  <c r="B23" i="129" s="1"/>
  <c r="B24" i="129" s="1"/>
  <c r="K57" i="129"/>
  <c r="K79" i="129" s="1"/>
  <c r="H57" i="129"/>
  <c r="F57" i="129"/>
  <c r="J57" i="129"/>
  <c r="J79" i="129" s="1"/>
  <c r="C57" i="129"/>
  <c r="E57" i="129"/>
  <c r="I57" i="129" s="1"/>
  <c r="B60" i="129"/>
  <c r="E59" i="129"/>
  <c r="I59" i="129" s="1"/>
  <c r="F58" i="129"/>
  <c r="G79" i="129"/>
  <c r="H58" i="129"/>
  <c r="E58" i="129" l="1"/>
  <c r="I58" i="129" s="1"/>
  <c r="C59" i="129"/>
  <c r="C58" i="129"/>
  <c r="J59" i="129"/>
  <c r="J81" i="129" s="1"/>
  <c r="K59" i="129"/>
  <c r="G80" i="129"/>
  <c r="H59" i="129"/>
  <c r="J80" i="129"/>
  <c r="C60" i="129"/>
  <c r="J60" i="129"/>
  <c r="B61" i="129"/>
  <c r="K60" i="129"/>
  <c r="H60" i="129"/>
  <c r="F60" i="129"/>
  <c r="E60" i="129"/>
  <c r="I60" i="129" s="1"/>
  <c r="G81" i="129"/>
  <c r="B82" i="129"/>
  <c r="K81" i="129"/>
  <c r="F59" i="129"/>
  <c r="K58" i="129"/>
  <c r="K80" i="129" s="1"/>
  <c r="J58" i="129"/>
  <c r="B62" i="129" l="1"/>
  <c r="K61" i="129"/>
  <c r="J61" i="129"/>
  <c r="F61" i="129"/>
  <c r="H61" i="129"/>
  <c r="E61" i="129"/>
  <c r="I61" i="129" s="1"/>
  <c r="C61" i="129"/>
  <c r="B83" i="129"/>
  <c r="K82" i="129"/>
  <c r="J82" i="129"/>
  <c r="G82" i="129"/>
  <c r="G83" i="129" l="1"/>
  <c r="B84" i="129"/>
  <c r="K83" i="129"/>
  <c r="J83" i="129"/>
  <c r="C62" i="129"/>
  <c r="B63" i="129"/>
  <c r="K62" i="129"/>
  <c r="J62" i="129"/>
  <c r="F62" i="129"/>
  <c r="H62" i="129"/>
  <c r="E62" i="129"/>
  <c r="I62" i="129" s="1"/>
  <c r="O21" i="131" l="1"/>
  <c r="H63" i="129"/>
  <c r="B64" i="129"/>
  <c r="K63" i="129"/>
  <c r="J63" i="129"/>
  <c r="F63" i="129"/>
  <c r="E63" i="129"/>
  <c r="I63" i="129" s="1"/>
  <c r="C63" i="129"/>
  <c r="B85" i="129"/>
  <c r="K84" i="129"/>
  <c r="J84" i="129"/>
  <c r="B86" i="129" l="1"/>
  <c r="K85" i="129"/>
  <c r="J85" i="129"/>
  <c r="H64" i="129"/>
  <c r="F64" i="129"/>
  <c r="E64" i="129"/>
  <c r="I64" i="129" s="1"/>
  <c r="B65" i="129"/>
  <c r="J64" i="129"/>
  <c r="K64" i="129"/>
  <c r="B66" i="129" l="1"/>
  <c r="K65" i="129"/>
  <c r="J65" i="129"/>
  <c r="E65" i="129"/>
  <c r="I65" i="129" s="1"/>
  <c r="C65" i="129"/>
  <c r="H65" i="129"/>
  <c r="F65" i="129"/>
  <c r="B87" i="129"/>
  <c r="K86" i="129"/>
  <c r="J86" i="129"/>
  <c r="J87" i="129" l="1"/>
  <c r="B88" i="129"/>
  <c r="K87" i="129"/>
  <c r="J66" i="129"/>
  <c r="H66" i="129"/>
  <c r="F66" i="129"/>
  <c r="E66" i="129"/>
  <c r="I66" i="129" s="1"/>
  <c r="C66" i="129"/>
  <c r="B67" i="129"/>
  <c r="K66" i="129"/>
  <c r="B89" i="129" l="1"/>
  <c r="K88" i="129"/>
  <c r="J88" i="129"/>
  <c r="B68" i="129"/>
  <c r="B69" i="129" s="1"/>
  <c r="B70" i="129" s="1"/>
  <c r="H67" i="129"/>
  <c r="F67" i="129"/>
  <c r="E67" i="129"/>
  <c r="I67" i="129" s="1"/>
  <c r="K67" i="129"/>
  <c r="J67" i="129"/>
  <c r="C67" i="129"/>
  <c r="J89" i="129" l="1"/>
  <c r="K89" i="129"/>
  <c r="B90" i="129"/>
  <c r="B91" i="129" s="1"/>
  <c r="B92" i="129" s="1"/>
  <c r="B193" i="128"/>
  <c r="B110" i="128"/>
  <c r="AS12" i="129"/>
  <c r="B149" i="128"/>
  <c r="B234" i="128"/>
  <c r="AG19" i="129"/>
  <c r="B58" i="128"/>
  <c r="B27" i="128"/>
  <c r="N23" i="129"/>
  <c r="B104" i="128"/>
  <c r="B103" i="128"/>
  <c r="AN20" i="129"/>
  <c r="B46" i="128"/>
  <c r="B197" i="128"/>
  <c r="B131" i="128"/>
  <c r="AC24" i="129"/>
  <c r="AU7" i="129"/>
  <c r="B100" i="128"/>
  <c r="AU18" i="129"/>
  <c r="B164" i="128"/>
  <c r="K23" i="129"/>
  <c r="B170" i="128"/>
  <c r="B240" i="128"/>
  <c r="AN15" i="129"/>
  <c r="J23" i="129"/>
  <c r="U22" i="129"/>
  <c r="AR9" i="129"/>
  <c r="AQ11" i="129"/>
  <c r="B132" i="128"/>
  <c r="AL10" i="129"/>
  <c r="AR12" i="129"/>
  <c r="B56" i="128"/>
  <c r="AS16" i="129"/>
  <c r="AS6" i="129"/>
  <c r="AJ9" i="129"/>
  <c r="B71" i="128"/>
  <c r="AM19" i="129"/>
  <c r="H24" i="129"/>
  <c r="B239" i="128"/>
  <c r="M22" i="129"/>
  <c r="B168" i="128"/>
  <c r="F24" i="129"/>
  <c r="B94" i="128"/>
  <c r="AS18" i="129"/>
  <c r="E20" i="129"/>
  <c r="M6" i="129"/>
  <c r="AN23" i="129"/>
  <c r="AO12" i="129"/>
  <c r="AH24" i="129"/>
  <c r="AQ20" i="129"/>
  <c r="B235" i="128"/>
  <c r="AF7" i="129"/>
  <c r="B192" i="128"/>
  <c r="U6" i="129"/>
  <c r="B54" i="128"/>
  <c r="AG10" i="129"/>
  <c r="AS9" i="129"/>
  <c r="AS8" i="129"/>
  <c r="B188" i="128"/>
  <c r="B106" i="128"/>
  <c r="B97" i="128"/>
  <c r="B74" i="128"/>
  <c r="B154" i="128"/>
  <c r="AF15" i="129"/>
  <c r="AM7" i="129"/>
  <c r="B23" i="128"/>
  <c r="AU13" i="129"/>
  <c r="B60" i="128"/>
  <c r="AR15" i="129"/>
  <c r="E23" i="129"/>
  <c r="B31" i="128"/>
  <c r="B120" i="128"/>
  <c r="AL6" i="129"/>
  <c r="B93" i="128"/>
  <c r="AM15" i="129"/>
  <c r="D18" i="129"/>
  <c r="B34" i="128"/>
  <c r="H23" i="129"/>
  <c r="E24" i="129"/>
  <c r="B199" i="128"/>
  <c r="B218" i="128"/>
  <c r="B114" i="128"/>
  <c r="V23" i="129"/>
  <c r="B26" i="128"/>
  <c r="AJ21" i="129"/>
  <c r="B187" i="128"/>
  <c r="J22" i="129"/>
  <c r="AH21" i="129"/>
  <c r="B87" i="128"/>
  <c r="B176" i="128"/>
  <c r="AJ16" i="129"/>
  <c r="B166" i="128"/>
  <c r="B35" i="128"/>
  <c r="B155" i="128"/>
  <c r="AM21" i="129"/>
  <c r="B167" i="128"/>
  <c r="B57" i="128"/>
  <c r="B190" i="128"/>
  <c r="B230" i="128"/>
  <c r="B63" i="128"/>
  <c r="AM10" i="129"/>
  <c r="B202" i="128"/>
  <c r="B126" i="128"/>
  <c r="U24" i="129"/>
  <c r="AN7" i="129"/>
  <c r="B18" i="128"/>
  <c r="AG15" i="129"/>
  <c r="AL17" i="129"/>
  <c r="AH8" i="129"/>
  <c r="B127" i="128"/>
  <c r="B225" i="128"/>
  <c r="AN10" i="129"/>
  <c r="AL14" i="129"/>
  <c r="B194" i="128"/>
  <c r="B89" i="128"/>
  <c r="B50" i="128"/>
  <c r="B111" i="128"/>
  <c r="B169" i="128"/>
  <c r="AQ18" i="129"/>
  <c r="AI13" i="129"/>
  <c r="B162" i="128"/>
  <c r="B37" i="128"/>
  <c r="AJ23" i="129"/>
  <c r="AO18" i="129"/>
  <c r="AS23" i="129"/>
  <c r="B66" i="128"/>
  <c r="G6" i="129"/>
  <c r="B214" i="128"/>
  <c r="B228" i="128"/>
  <c r="H22" i="129"/>
  <c r="I23" i="129"/>
  <c r="B105" i="128"/>
  <c r="B96" i="128"/>
  <c r="AS21" i="129"/>
  <c r="AF11" i="129"/>
  <c r="Z23" i="129"/>
  <c r="AH13" i="129"/>
  <c r="AR16" i="129"/>
  <c r="B30" i="128"/>
  <c r="AM6" i="129"/>
  <c r="AI22" i="129"/>
  <c r="AS20" i="129"/>
  <c r="N6" i="129"/>
  <c r="B76" i="128"/>
  <c r="C6" i="129"/>
  <c r="B65" i="128"/>
  <c r="B231" i="128"/>
  <c r="AS13" i="129"/>
  <c r="B179" i="128"/>
  <c r="K22" i="129"/>
  <c r="B68" i="128"/>
  <c r="B83" i="128"/>
  <c r="AS22" i="129"/>
  <c r="AF17" i="129"/>
  <c r="AG6" i="129"/>
  <c r="B36" i="128"/>
  <c r="AG13" i="129"/>
  <c r="B130" i="128"/>
  <c r="AH22" i="129"/>
  <c r="B117" i="128"/>
  <c r="B185" i="128"/>
  <c r="AI8" i="129"/>
  <c r="B112" i="128"/>
  <c r="B92" i="128"/>
  <c r="B189" i="128"/>
  <c r="AO21" i="129"/>
  <c r="AJ6" i="129"/>
  <c r="AM18" i="129"/>
  <c r="AD24" i="129"/>
  <c r="L23" i="129"/>
  <c r="B171" i="128"/>
  <c r="AI21" i="129"/>
  <c r="AQ14" i="129"/>
  <c r="AI24" i="129"/>
  <c r="AU12" i="129"/>
  <c r="B118" i="128"/>
  <c r="AM24" i="129"/>
  <c r="B211" i="128"/>
  <c r="AR18" i="129"/>
  <c r="B85" i="128"/>
  <c r="B183" i="128"/>
  <c r="AM8" i="129"/>
  <c r="AQ19" i="129"/>
  <c r="AU16" i="129"/>
  <c r="AL24" i="129"/>
  <c r="O24" i="129"/>
  <c r="AQ16" i="129"/>
  <c r="AH11" i="129"/>
  <c r="AF23" i="129"/>
  <c r="B78" i="128"/>
  <c r="AI12" i="129"/>
  <c r="B172" i="128"/>
  <c r="AL8" i="129"/>
  <c r="B242" i="128"/>
  <c r="AI7" i="129"/>
  <c r="AO11" i="129"/>
  <c r="F6" i="129"/>
  <c r="B84" i="128"/>
  <c r="AJ13" i="129"/>
  <c r="AF12" i="129"/>
  <c r="B238" i="128"/>
  <c r="AU6" i="129"/>
  <c r="AH17" i="129"/>
  <c r="B98" i="128"/>
  <c r="AI18" i="129"/>
  <c r="AH18" i="129"/>
  <c r="K24" i="129"/>
  <c r="AO22" i="129"/>
  <c r="B90" i="128"/>
  <c r="B81" i="128"/>
  <c r="B62" i="128"/>
  <c r="B209" i="128"/>
  <c r="B226" i="128"/>
  <c r="B141" i="128"/>
  <c r="AJ7" i="129"/>
  <c r="B129" i="128"/>
  <c r="D22" i="129"/>
  <c r="AR8" i="129"/>
  <c r="B215" i="128"/>
  <c r="AG21" i="129"/>
  <c r="B196" i="128"/>
  <c r="B82" i="128"/>
  <c r="B24" i="128"/>
  <c r="B125" i="128"/>
  <c r="B156" i="128"/>
  <c r="AN9" i="129"/>
  <c r="P22" i="129"/>
  <c r="AN14" i="129"/>
  <c r="AI23" i="129"/>
  <c r="AR6" i="129"/>
  <c r="B227" i="128"/>
  <c r="AI17" i="129"/>
  <c r="B128" i="128"/>
  <c r="P6" i="129"/>
  <c r="B109" i="128"/>
  <c r="B219" i="128"/>
  <c r="B38" i="128"/>
  <c r="B138" i="128"/>
  <c r="B99" i="128"/>
  <c r="B158" i="128"/>
  <c r="D6" i="129"/>
  <c r="P24" i="129"/>
  <c r="G23" i="129"/>
  <c r="AJ12" i="129"/>
  <c r="AN19" i="129"/>
  <c r="AU11" i="129"/>
  <c r="B69" i="128"/>
  <c r="AH14" i="129"/>
  <c r="Z22" i="129"/>
  <c r="D23" i="129"/>
  <c r="B91" i="128"/>
  <c r="AF9" i="129"/>
  <c r="L6" i="129"/>
  <c r="AN24" i="129"/>
  <c r="C22" i="129"/>
  <c r="B241" i="128"/>
  <c r="B144" i="128"/>
  <c r="AN18" i="129"/>
  <c r="AL7" i="129"/>
  <c r="AQ7" i="129"/>
  <c r="AI15" i="129"/>
  <c r="B147" i="128"/>
  <c r="B40" i="128"/>
  <c r="B163" i="128"/>
  <c r="AL20" i="129"/>
  <c r="AL21" i="129"/>
  <c r="AI9" i="129"/>
  <c r="AF22" i="129"/>
  <c r="I6" i="129"/>
  <c r="B119" i="128"/>
  <c r="AM14" i="129"/>
  <c r="B243" i="128"/>
  <c r="B237" i="128"/>
  <c r="B195" i="128"/>
  <c r="B107" i="128"/>
  <c r="AN21" i="129"/>
  <c r="AR22" i="129"/>
  <c r="B152" i="128"/>
  <c r="AU8" i="129"/>
  <c r="B133" i="128"/>
  <c r="AR17" i="129"/>
  <c r="B157" i="128"/>
  <c r="B221" i="128"/>
  <c r="AR19" i="129"/>
  <c r="B113" i="128"/>
  <c r="B88" i="128"/>
  <c r="AS24" i="129"/>
  <c r="AR10" i="129"/>
  <c r="B233" i="128"/>
  <c r="AS7" i="129"/>
  <c r="AQ9" i="129"/>
  <c r="AO19" i="129"/>
  <c r="AS10" i="129"/>
  <c r="B61" i="128"/>
  <c r="B49" i="128"/>
  <c r="G24" i="129"/>
  <c r="B232" i="128"/>
  <c r="B73" i="128"/>
  <c r="AG12" i="129"/>
  <c r="B19" i="128"/>
  <c r="AN17" i="129"/>
  <c r="AO8" i="129"/>
  <c r="AU9" i="129"/>
  <c r="AU24" i="129"/>
  <c r="V6" i="129"/>
  <c r="B123" i="128"/>
  <c r="AF19" i="129"/>
  <c r="B137" i="128"/>
  <c r="AO9" i="129"/>
  <c r="Z24" i="129"/>
  <c r="AL12" i="129"/>
  <c r="AQ10" i="129"/>
  <c r="AQ24" i="129"/>
  <c r="AF21" i="129"/>
  <c r="B151" i="128"/>
  <c r="AL22" i="129"/>
  <c r="Z6" i="129"/>
  <c r="AQ23" i="129"/>
  <c r="AM12" i="129"/>
  <c r="AL13" i="129"/>
  <c r="AL9" i="129"/>
  <c r="AQ12" i="129"/>
  <c r="N24" i="129"/>
  <c r="B22" i="128"/>
  <c r="B165" i="128"/>
  <c r="F23" i="129"/>
  <c r="AU22" i="129"/>
  <c r="AG24" i="129"/>
  <c r="B102" i="128"/>
  <c r="B205" i="128"/>
  <c r="B21" i="128"/>
  <c r="AJ14" i="129"/>
  <c r="AR11" i="129"/>
  <c r="AS19" i="129"/>
  <c r="B217" i="128"/>
  <c r="B45" i="128"/>
  <c r="B108" i="128"/>
  <c r="AI16" i="129"/>
  <c r="AR20" i="129"/>
  <c r="C23" i="129"/>
  <c r="AR21" i="129"/>
  <c r="AU10" i="129"/>
  <c r="AN22" i="129"/>
  <c r="AJ20" i="129"/>
  <c r="AQ13" i="129"/>
  <c r="AF16" i="129"/>
  <c r="B181" i="128"/>
  <c r="B229" i="128"/>
  <c r="B245" i="128"/>
  <c r="AF6" i="129"/>
  <c r="AO24" i="129"/>
  <c r="B160" i="128"/>
  <c r="H6" i="129"/>
  <c r="B70" i="128"/>
  <c r="AN6" i="129"/>
  <c r="AQ21" i="129"/>
  <c r="B72" i="128"/>
  <c r="B153" i="128"/>
  <c r="AH20" i="129"/>
  <c r="AF20" i="129"/>
  <c r="AO15" i="129"/>
  <c r="B139" i="128"/>
  <c r="B20" i="128"/>
  <c r="AF10" i="129"/>
  <c r="B122" i="128"/>
  <c r="B135" i="128"/>
  <c r="B77" i="128"/>
  <c r="AC23" i="129"/>
  <c r="G22" i="129"/>
  <c r="K6" i="129"/>
  <c r="AJ22" i="129"/>
  <c r="AO6" i="129"/>
  <c r="E22" i="129"/>
  <c r="B204" i="128"/>
  <c r="B28" i="128"/>
  <c r="P23" i="129"/>
  <c r="AU19" i="129"/>
  <c r="B161" i="128"/>
  <c r="AM11" i="129"/>
  <c r="B212" i="128"/>
  <c r="AL23" i="129"/>
  <c r="F22" i="129"/>
  <c r="B25" i="128"/>
  <c r="AJ17" i="129"/>
  <c r="AN13" i="129"/>
  <c r="B136" i="128"/>
  <c r="B86" i="128"/>
  <c r="V22" i="129"/>
  <c r="J24" i="129"/>
  <c r="AG22" i="129"/>
  <c r="B182" i="128"/>
  <c r="AN16" i="129"/>
  <c r="AG11" i="129"/>
  <c r="J6" i="129"/>
  <c r="B116" i="128"/>
  <c r="AL19" i="129"/>
  <c r="B203" i="128"/>
  <c r="B79" i="128"/>
  <c r="AH6" i="129"/>
  <c r="AN12" i="129"/>
  <c r="B44" i="128"/>
  <c r="B148" i="128"/>
  <c r="AR14" i="129"/>
  <c r="AO10" i="129"/>
  <c r="B41" i="128"/>
  <c r="B223" i="128"/>
  <c r="AS11" i="129"/>
  <c r="B210" i="128"/>
  <c r="AF13" i="129"/>
  <c r="B236" i="128"/>
  <c r="AR13" i="129"/>
  <c r="B208" i="128"/>
  <c r="AF14" i="129"/>
  <c r="O23" i="129"/>
  <c r="AH19" i="129"/>
  <c r="AD23" i="129"/>
  <c r="B39" i="128"/>
  <c r="AC6" i="129"/>
  <c r="AO17" i="129"/>
  <c r="AM20" i="129"/>
  <c r="AM16" i="129"/>
  <c r="AJ24" i="129"/>
  <c r="B33" i="128"/>
  <c r="B159" i="128"/>
  <c r="AG16" i="129"/>
  <c r="B121" i="128"/>
  <c r="AG18" i="129"/>
  <c r="B207" i="128"/>
  <c r="AL11" i="129"/>
  <c r="B142" i="128"/>
  <c r="D24" i="129"/>
  <c r="AN8" i="129"/>
  <c r="I22" i="129"/>
  <c r="B175" i="128"/>
  <c r="AM22" i="129"/>
  <c r="B43" i="128"/>
  <c r="AO20" i="129"/>
  <c r="AH9" i="129"/>
  <c r="B145" i="128"/>
  <c r="AG23" i="129"/>
  <c r="AN11" i="129"/>
  <c r="B140" i="128"/>
  <c r="N22" i="129"/>
  <c r="B224" i="128"/>
  <c r="C24" i="129"/>
  <c r="B150" i="128"/>
  <c r="AH16" i="129"/>
  <c r="B59" i="128"/>
  <c r="AH15" i="129"/>
  <c r="AR7" i="129"/>
  <c r="AU15" i="129"/>
  <c r="AU17" i="129"/>
  <c r="B143" i="128"/>
  <c r="AG7" i="129"/>
  <c r="M24" i="129"/>
  <c r="B32" i="128"/>
  <c r="AO16" i="129"/>
  <c r="AQ22" i="129"/>
  <c r="B64" i="128"/>
  <c r="B174" i="128"/>
  <c r="AL16" i="129"/>
  <c r="AH12" i="129"/>
  <c r="AI6" i="129"/>
  <c r="AJ19" i="129"/>
  <c r="AQ6" i="129"/>
  <c r="B48" i="128"/>
  <c r="AG8" i="129"/>
  <c r="AJ8" i="129"/>
  <c r="B180" i="128"/>
  <c r="AU21" i="129"/>
  <c r="AM9" i="129"/>
  <c r="B55" i="128"/>
  <c r="AL18" i="129"/>
  <c r="B75" i="128"/>
  <c r="AG20" i="129"/>
  <c r="AQ8" i="129"/>
  <c r="O22" i="129"/>
  <c r="AF18" i="129"/>
  <c r="B177" i="128"/>
  <c r="B201" i="128"/>
  <c r="AQ17" i="129"/>
  <c r="AI14" i="129"/>
  <c r="E6" i="129"/>
  <c r="AJ10" i="129"/>
  <c r="B67" i="128"/>
  <c r="AF8" i="129"/>
  <c r="AH10" i="129"/>
  <c r="B29" i="128"/>
  <c r="B53" i="128"/>
  <c r="AJ11" i="129"/>
  <c r="AH7" i="129"/>
  <c r="AR24" i="129"/>
  <c r="AH23" i="129"/>
  <c r="B95" i="128"/>
  <c r="AM13" i="129"/>
  <c r="L24" i="129"/>
  <c r="AC22" i="129"/>
  <c r="AQ15" i="129"/>
  <c r="B216" i="128"/>
  <c r="B146" i="128"/>
  <c r="B222" i="128"/>
  <c r="B220" i="128"/>
  <c r="B186" i="128"/>
  <c r="B198" i="128"/>
  <c r="AG9" i="129"/>
  <c r="B115" i="128"/>
  <c r="AD6" i="129"/>
  <c r="AO23" i="129"/>
  <c r="AI20" i="129"/>
  <c r="AF24" i="129"/>
  <c r="AU23" i="129"/>
  <c r="AD22" i="129"/>
  <c r="B51" i="128"/>
  <c r="B134" i="128"/>
  <c r="AS15" i="129"/>
  <c r="B213" i="128"/>
  <c r="AO14" i="129"/>
  <c r="AR23" i="129"/>
  <c r="B200" i="128"/>
  <c r="B42" i="128"/>
  <c r="V24" i="129"/>
  <c r="B191" i="128"/>
  <c r="B178" i="128"/>
  <c r="AS14" i="129"/>
  <c r="M23" i="129"/>
  <c r="I24" i="129"/>
  <c r="U23" i="129"/>
  <c r="AJ18" i="129"/>
  <c r="B184" i="128"/>
  <c r="AI10" i="129"/>
  <c r="AG14" i="129"/>
  <c r="AO13" i="129"/>
  <c r="AI11" i="129"/>
  <c r="B47" i="128"/>
  <c r="B206" i="128"/>
  <c r="B101" i="128"/>
  <c r="B80" i="128"/>
  <c r="AM23" i="129"/>
  <c r="B244" i="128"/>
  <c r="AO7" i="129"/>
  <c r="B52" i="128"/>
  <c r="AM17" i="129"/>
  <c r="B124" i="128"/>
  <c r="AS17" i="129"/>
  <c r="AU14" i="129"/>
  <c r="AL15" i="129"/>
  <c r="O6" i="129"/>
  <c r="AU20" i="129"/>
  <c r="AG17" i="129"/>
  <c r="AJ15" i="129"/>
  <c r="AI19" i="129"/>
  <c r="B173" i="128"/>
  <c r="L22" i="129"/>
  <c r="N48" i="129" l="1"/>
  <c r="N92" i="129"/>
  <c r="N43" i="129"/>
  <c r="H74" i="129"/>
  <c r="AT22" i="129"/>
  <c r="D52" i="129"/>
  <c r="J19" i="131"/>
  <c r="N31" i="129"/>
  <c r="N75" i="129"/>
  <c r="L64" i="129"/>
  <c r="L86" i="129" s="1"/>
  <c r="M64" i="129"/>
  <c r="M86" i="129" s="1"/>
  <c r="H42" i="129"/>
  <c r="H86" i="129" s="1"/>
  <c r="F42" i="129"/>
  <c r="F86" i="129" s="1"/>
  <c r="AC18" i="129"/>
  <c r="G42" i="129" s="1"/>
  <c r="G64" i="129" s="1"/>
  <c r="G86" i="129" s="1"/>
  <c r="L62" i="129"/>
  <c r="L84" i="129" s="1"/>
  <c r="M62" i="129"/>
  <c r="M84" i="129" s="1"/>
  <c r="H40" i="129"/>
  <c r="H84" i="129" s="1"/>
  <c r="AC16" i="129"/>
  <c r="G40" i="129" s="1"/>
  <c r="G62" i="129" s="1"/>
  <c r="G84" i="129" s="1"/>
  <c r="F40" i="129"/>
  <c r="F84" i="129" s="1"/>
  <c r="D43" i="129"/>
  <c r="D87" i="129" s="1"/>
  <c r="AY17" i="129"/>
  <c r="H37" i="129"/>
  <c r="H81" i="129" s="1"/>
  <c r="M59" i="129"/>
  <c r="M81" i="129" s="1"/>
  <c r="F37" i="129"/>
  <c r="F81" i="129" s="1"/>
  <c r="L59" i="129"/>
  <c r="L81" i="129" s="1"/>
  <c r="H90" i="129"/>
  <c r="W22" i="129"/>
  <c r="M90" i="129"/>
  <c r="L90" i="129"/>
  <c r="N41" i="129"/>
  <c r="M92" i="129"/>
  <c r="W24" i="129"/>
  <c r="L92" i="129"/>
  <c r="D45" i="129"/>
  <c r="D89" i="129" s="1"/>
  <c r="AY19" i="129"/>
  <c r="F52" i="129"/>
  <c r="X6" i="129"/>
  <c r="M52" i="129" s="1"/>
  <c r="F69" i="129"/>
  <c r="AY13" i="129"/>
  <c r="D39" i="129"/>
  <c r="D83" i="129" s="1"/>
  <c r="AT17" i="129"/>
  <c r="K21" i="131" s="1"/>
  <c r="O90" i="129"/>
  <c r="L70" i="129"/>
  <c r="F48" i="129"/>
  <c r="H48" i="129"/>
  <c r="N90" i="129"/>
  <c r="N46" i="129"/>
  <c r="E32" i="129"/>
  <c r="E76" i="129" s="1"/>
  <c r="AX6" i="129"/>
  <c r="C32" i="129"/>
  <c r="C76" i="129" s="1"/>
  <c r="L57" i="129"/>
  <c r="L79" i="129" s="1"/>
  <c r="F35" i="129"/>
  <c r="F79" i="129" s="1"/>
  <c r="M57" i="129"/>
  <c r="M79" i="129" s="1"/>
  <c r="H35" i="129"/>
  <c r="H79" i="129" s="1"/>
  <c r="N70" i="129"/>
  <c r="O70" i="129"/>
  <c r="Z20" i="129"/>
  <c r="D44" i="129" s="1"/>
  <c r="D88" i="129" s="1"/>
  <c r="N52" i="129"/>
  <c r="O52" i="129"/>
  <c r="AY11" i="129"/>
  <c r="D37" i="129"/>
  <c r="D81" i="129" s="1"/>
  <c r="AY14" i="129"/>
  <c r="D40" i="129"/>
  <c r="D84" i="129" s="1"/>
  <c r="W23" i="129"/>
  <c r="L91" i="129"/>
  <c r="M91" i="129"/>
  <c r="D92" i="129"/>
  <c r="L19" i="131"/>
  <c r="N40" i="129"/>
  <c r="N84" i="129" s="1"/>
  <c r="AY5" i="129"/>
  <c r="D31" i="129"/>
  <c r="D75" i="129" s="1"/>
  <c r="L18" i="131"/>
  <c r="N45" i="129"/>
  <c r="N79" i="129"/>
  <c r="N35" i="129"/>
  <c r="N62" i="129"/>
  <c r="O62" i="129"/>
  <c r="O84" i="129" s="1"/>
  <c r="AT19" i="129"/>
  <c r="E39" i="129"/>
  <c r="I39" i="129" s="1"/>
  <c r="I83" i="129" s="1"/>
  <c r="AX13" i="129"/>
  <c r="C39" i="129"/>
  <c r="C83" i="129" s="1"/>
  <c r="R24" i="129"/>
  <c r="E70" i="129"/>
  <c r="I70" i="129" s="1"/>
  <c r="H38" i="129"/>
  <c r="H82" i="129" s="1"/>
  <c r="F38" i="129"/>
  <c r="F82" i="129" s="1"/>
  <c r="L60" i="129"/>
  <c r="L82" i="129" s="1"/>
  <c r="M60" i="129"/>
  <c r="M82" i="129" s="1"/>
  <c r="X24" i="129"/>
  <c r="M70" i="129" s="1"/>
  <c r="N68" i="129"/>
  <c r="O68" i="129"/>
  <c r="F33" i="129"/>
  <c r="F77" i="129" s="1"/>
  <c r="H33" i="129"/>
  <c r="H77" i="129" s="1"/>
  <c r="L55" i="129"/>
  <c r="L77" i="129" s="1"/>
  <c r="M55" i="129"/>
  <c r="M77" i="129" s="1"/>
  <c r="H46" i="129"/>
  <c r="L68" i="129"/>
  <c r="F46" i="129"/>
  <c r="AT18" i="129"/>
  <c r="G91" i="129"/>
  <c r="N56" i="129"/>
  <c r="O56" i="129"/>
  <c r="O78" i="129" s="1"/>
  <c r="D69" i="129"/>
  <c r="G46" i="129"/>
  <c r="G68" i="129" s="1"/>
  <c r="D34" i="129"/>
  <c r="D78" i="129" s="1"/>
  <c r="AY8" i="129"/>
  <c r="F70" i="129"/>
  <c r="E31" i="129"/>
  <c r="E75" i="129" s="1"/>
  <c r="C31" i="129"/>
  <c r="C75" i="129" s="1"/>
  <c r="Q75" i="129" s="1"/>
  <c r="C95" i="129" s="1"/>
  <c r="AX5" i="129"/>
  <c r="E35" i="129"/>
  <c r="I35" i="129" s="1"/>
  <c r="I79" i="129" s="1"/>
  <c r="AX9" i="129"/>
  <c r="C35" i="129"/>
  <c r="C79" i="129" s="1"/>
  <c r="O54" i="129"/>
  <c r="O76" i="129" s="1"/>
  <c r="N54" i="129"/>
  <c r="L63" i="129"/>
  <c r="L85" i="129" s="1"/>
  <c r="M63" i="129"/>
  <c r="M85" i="129" s="1"/>
  <c r="H41" i="129"/>
  <c r="H85" i="129" s="1"/>
  <c r="F41" i="129"/>
  <c r="F85" i="129" s="1"/>
  <c r="AC17" i="129"/>
  <c r="G41" i="129" s="1"/>
  <c r="G63" i="129" s="1"/>
  <c r="G85" i="129" s="1"/>
  <c r="O74" i="129"/>
  <c r="AX11" i="129"/>
  <c r="E37" i="129"/>
  <c r="I37" i="129" s="1"/>
  <c r="I81" i="129" s="1"/>
  <c r="C37" i="129"/>
  <c r="C81" i="129" s="1"/>
  <c r="Q81" i="129" s="1"/>
  <c r="I95" i="129" s="1"/>
  <c r="X22" i="129"/>
  <c r="M68" i="129" s="1"/>
  <c r="N55" i="129"/>
  <c r="O55" i="129"/>
  <c r="O77" i="129" s="1"/>
  <c r="G90" i="129"/>
  <c r="AT21" i="129"/>
  <c r="O64" i="129"/>
  <c r="O86" i="129" s="1"/>
  <c r="N64" i="129"/>
  <c r="L12" i="131"/>
  <c r="N38" i="129"/>
  <c r="N44" i="129"/>
  <c r="N88" i="129" s="1"/>
  <c r="F92" i="129"/>
  <c r="R23" i="129"/>
  <c r="J69" i="129" s="1"/>
  <c r="E69" i="129"/>
  <c r="I69" i="129" s="1"/>
  <c r="N80" i="129"/>
  <c r="N36" i="129"/>
  <c r="D74" i="129"/>
  <c r="Q24" i="129"/>
  <c r="S24" i="129" s="1"/>
  <c r="K92" i="129" s="1"/>
  <c r="E92" i="129"/>
  <c r="C70" i="129"/>
  <c r="AB23" i="129"/>
  <c r="E47" i="129"/>
  <c r="I47" i="129" s="1"/>
  <c r="H92" i="129"/>
  <c r="D70" i="129"/>
  <c r="N53" i="129"/>
  <c r="O53" i="129"/>
  <c r="O75" i="129" s="1"/>
  <c r="F39" i="129"/>
  <c r="F83" i="129" s="1"/>
  <c r="H39" i="129"/>
  <c r="H83" i="129" s="1"/>
  <c r="M61" i="129"/>
  <c r="M83" i="129" s="1"/>
  <c r="L61" i="129"/>
  <c r="L83" i="129" s="1"/>
  <c r="AB6" i="129"/>
  <c r="E30" i="129" s="1"/>
  <c r="C33" i="129"/>
  <c r="C77" i="129" s="1"/>
  <c r="Q77" i="129" s="1"/>
  <c r="E95" i="129" s="1"/>
  <c r="M18" i="131" s="1"/>
  <c r="AX7" i="129"/>
  <c r="E33" i="129"/>
  <c r="E77" i="129" s="1"/>
  <c r="F31" i="129"/>
  <c r="F75" i="129" s="1"/>
  <c r="M53" i="129"/>
  <c r="M75" i="129" s="1"/>
  <c r="L53" i="129"/>
  <c r="L75" i="129" s="1"/>
  <c r="H31" i="129"/>
  <c r="H75" i="129" s="1"/>
  <c r="F91" i="129"/>
  <c r="G48" i="129"/>
  <c r="G70" i="129" s="1"/>
  <c r="C44" i="129"/>
  <c r="C88" i="129" s="1"/>
  <c r="E44" i="129"/>
  <c r="E88" i="129" s="1"/>
  <c r="AX18" i="129"/>
  <c r="H45" i="129"/>
  <c r="H89" i="129" s="1"/>
  <c r="F45" i="129"/>
  <c r="F89" i="129" s="1"/>
  <c r="M67" i="129"/>
  <c r="M89" i="129" s="1"/>
  <c r="L67" i="129"/>
  <c r="L89" i="129" s="1"/>
  <c r="AC21" i="129"/>
  <c r="G45" i="129" s="1"/>
  <c r="G67" i="129" s="1"/>
  <c r="G89" i="129" s="1"/>
  <c r="AY15" i="129"/>
  <c r="D41" i="129"/>
  <c r="D85" i="129" s="1"/>
  <c r="AT8" i="129"/>
  <c r="AY7" i="129"/>
  <c r="D33" i="129"/>
  <c r="D77" i="129" s="1"/>
  <c r="E68" i="129"/>
  <c r="I68" i="129" s="1"/>
  <c r="R22" i="129"/>
  <c r="J68" i="129" s="1"/>
  <c r="N66" i="129"/>
  <c r="O66" i="129"/>
  <c r="O88" i="129" s="1"/>
  <c r="I91" i="129"/>
  <c r="D91" i="129"/>
  <c r="N63" i="129"/>
  <c r="O63" i="129"/>
  <c r="O85" i="129" s="1"/>
  <c r="C68" i="129"/>
  <c r="AT13" i="129"/>
  <c r="H70" i="129"/>
  <c r="C42" i="129"/>
  <c r="C86" i="129" s="1"/>
  <c r="Q86" i="129" s="1"/>
  <c r="N95" i="129" s="1"/>
  <c r="AX16" i="129"/>
  <c r="E42" i="129"/>
  <c r="N61" i="129"/>
  <c r="N83" i="129" s="1"/>
  <c r="O61" i="129"/>
  <c r="O83" i="129" s="1"/>
  <c r="D68" i="129"/>
  <c r="AT10" i="129"/>
  <c r="AT6" i="129"/>
  <c r="F90" i="129"/>
  <c r="C91" i="129"/>
  <c r="Q91" i="129" s="1"/>
  <c r="S95" i="129" s="1"/>
  <c r="AA23" i="129"/>
  <c r="C47" i="129" s="1"/>
  <c r="C52" i="129"/>
  <c r="N91" i="129"/>
  <c r="N47" i="129"/>
  <c r="E74" i="129"/>
  <c r="Q6" i="129"/>
  <c r="J74" i="129" s="1"/>
  <c r="C40" i="129"/>
  <c r="C84" i="129" s="1"/>
  <c r="E40" i="129"/>
  <c r="I40" i="129" s="1"/>
  <c r="I84" i="129" s="1"/>
  <c r="AX14" i="129"/>
  <c r="H91" i="129"/>
  <c r="G30" i="129"/>
  <c r="G52" i="129" s="1"/>
  <c r="O69" i="129"/>
  <c r="N69" i="129"/>
  <c r="N33" i="129"/>
  <c r="N77" i="129"/>
  <c r="I90" i="129"/>
  <c r="AT9" i="129"/>
  <c r="K18" i="131" s="1"/>
  <c r="AX8" i="129"/>
  <c r="C34" i="129"/>
  <c r="C78" i="129" s="1"/>
  <c r="Q78" i="129" s="1"/>
  <c r="F95" i="129" s="1"/>
  <c r="E34" i="129"/>
  <c r="E78" i="129" s="1"/>
  <c r="I74" i="129"/>
  <c r="N32" i="129"/>
  <c r="N76" i="129"/>
  <c r="AY12" i="129"/>
  <c r="D38" i="129"/>
  <c r="D82" i="129" s="1"/>
  <c r="N81" i="129"/>
  <c r="N37" i="129"/>
  <c r="L52" i="129"/>
  <c r="H30" i="129"/>
  <c r="F30" i="129"/>
  <c r="AT16" i="129"/>
  <c r="AT23" i="129"/>
  <c r="F74" i="129"/>
  <c r="N18" i="131"/>
  <c r="F68" i="129"/>
  <c r="X23" i="129"/>
  <c r="M69" i="129" s="1"/>
  <c r="E48" i="129"/>
  <c r="I48" i="129" s="1"/>
  <c r="AB24" i="129"/>
  <c r="AT11" i="129"/>
  <c r="K19" i="131" s="1"/>
  <c r="L66" i="129"/>
  <c r="L88" i="129" s="1"/>
  <c r="H44" i="129"/>
  <c r="H88" i="129" s="1"/>
  <c r="M66" i="129"/>
  <c r="M88" i="129" s="1"/>
  <c r="F44" i="129"/>
  <c r="F88" i="129" s="1"/>
  <c r="AC20" i="129"/>
  <c r="G44" i="129" s="1"/>
  <c r="G66" i="129" s="1"/>
  <c r="G88" i="129" s="1"/>
  <c r="AT7" i="129"/>
  <c r="AA6" i="129"/>
  <c r="C74" i="129"/>
  <c r="Q74" i="129" s="1"/>
  <c r="B95" i="129" s="1"/>
  <c r="H69" i="129"/>
  <c r="O57" i="129"/>
  <c r="O79" i="129" s="1"/>
  <c r="N57" i="129"/>
  <c r="N65" i="129"/>
  <c r="O65" i="129"/>
  <c r="O87" i="129" s="1"/>
  <c r="M56" i="129"/>
  <c r="M78" i="129" s="1"/>
  <c r="F34" i="129"/>
  <c r="F78" i="129" s="1"/>
  <c r="H34" i="129"/>
  <c r="H78" i="129" s="1"/>
  <c r="L56" i="129"/>
  <c r="L78" i="129" s="1"/>
  <c r="D47" i="129"/>
  <c r="C90" i="129"/>
  <c r="Q90" i="129" s="1"/>
  <c r="R95" i="129" s="1"/>
  <c r="AA22" i="129"/>
  <c r="N17" i="131"/>
  <c r="N42" i="129"/>
  <c r="C92" i="129"/>
  <c r="Q92" i="129" s="1"/>
  <c r="T95" i="129" s="1"/>
  <c r="AA24" i="129"/>
  <c r="J14" i="131"/>
  <c r="N39" i="129"/>
  <c r="AT24" i="129"/>
  <c r="H52" i="129"/>
  <c r="F43" i="129"/>
  <c r="F87" i="129" s="1"/>
  <c r="H43" i="129"/>
  <c r="H87" i="129" s="1"/>
  <c r="AC19" i="129"/>
  <c r="G43" i="129" s="1"/>
  <c r="G65" i="129" s="1"/>
  <c r="G87" i="129" s="1"/>
  <c r="L65" i="129"/>
  <c r="L87" i="129" s="1"/>
  <c r="M65" i="129"/>
  <c r="M87" i="129" s="1"/>
  <c r="C64" i="129"/>
  <c r="H68" i="129"/>
  <c r="W6" i="129"/>
  <c r="M74" i="129"/>
  <c r="L74" i="129"/>
  <c r="D36" i="129"/>
  <c r="D80" i="129" s="1"/>
  <c r="AY10" i="129"/>
  <c r="C38" i="129"/>
  <c r="C82" i="129" s="1"/>
  <c r="AX12" i="129"/>
  <c r="E38" i="129"/>
  <c r="E82" i="129" s="1"/>
  <c r="D35" i="129"/>
  <c r="D79" i="129" s="1"/>
  <c r="AY9" i="129"/>
  <c r="N67" i="129"/>
  <c r="N89" i="129" s="1"/>
  <c r="O67" i="129"/>
  <c r="O89" i="129" s="1"/>
  <c r="D90" i="129"/>
  <c r="E43" i="129"/>
  <c r="AX17" i="129"/>
  <c r="C43" i="129"/>
  <c r="C87" i="129" s="1"/>
  <c r="E41" i="129"/>
  <c r="I41" i="129" s="1"/>
  <c r="I85" i="129" s="1"/>
  <c r="AX15" i="129"/>
  <c r="C41" i="129"/>
  <c r="C85" i="129" s="1"/>
  <c r="AT20" i="129"/>
  <c r="C69" i="129"/>
  <c r="D48" i="129"/>
  <c r="AT15" i="129"/>
  <c r="D30" i="129"/>
  <c r="N22" i="131"/>
  <c r="H36" i="129"/>
  <c r="H80" i="129" s="1"/>
  <c r="F36" i="129"/>
  <c r="F80" i="129" s="1"/>
  <c r="M58" i="129"/>
  <c r="M80" i="129" s="1"/>
  <c r="L58" i="129"/>
  <c r="L80" i="129" s="1"/>
  <c r="N78" i="129"/>
  <c r="N34" i="129"/>
  <c r="AT12" i="129"/>
  <c r="N60" i="129"/>
  <c r="O60" i="129"/>
  <c r="O82" i="129" s="1"/>
  <c r="I92" i="129"/>
  <c r="D32" i="129"/>
  <c r="D76" i="129" s="1"/>
  <c r="AY6" i="129"/>
  <c r="N19" i="131"/>
  <c r="F47" i="129"/>
  <c r="L69" i="129"/>
  <c r="H47" i="129"/>
  <c r="D46" i="129"/>
  <c r="O91" i="129"/>
  <c r="AY16" i="129"/>
  <c r="D42" i="129"/>
  <c r="D86" i="129" s="1"/>
  <c r="Q23" i="129"/>
  <c r="S23" i="129" s="1"/>
  <c r="K91" i="129" s="1"/>
  <c r="E91" i="129"/>
  <c r="N58" i="129"/>
  <c r="O58" i="129"/>
  <c r="O80" i="129" s="1"/>
  <c r="N59" i="129"/>
  <c r="O59" i="129"/>
  <c r="O81" i="129" s="1"/>
  <c r="F32" i="129"/>
  <c r="F76" i="129" s="1"/>
  <c r="H32" i="129"/>
  <c r="H76" i="129" s="1"/>
  <c r="L54" i="129"/>
  <c r="L76" i="129" s="1"/>
  <c r="M54" i="129"/>
  <c r="M76" i="129" s="1"/>
  <c r="G74" i="129"/>
  <c r="G92" i="129"/>
  <c r="E36" i="129"/>
  <c r="C36" i="129"/>
  <c r="C80" i="129" s="1"/>
  <c r="Q80" i="129" s="1"/>
  <c r="H95" i="129" s="1"/>
  <c r="AX10" i="129"/>
  <c r="J18" i="131"/>
  <c r="E46" i="129"/>
  <c r="I46" i="129" s="1"/>
  <c r="AB22" i="129"/>
  <c r="E52" i="129"/>
  <c r="R6" i="129"/>
  <c r="O92" i="129"/>
  <c r="AY18" i="129"/>
  <c r="AT14" i="129"/>
  <c r="N30" i="129"/>
  <c r="N74" i="129"/>
  <c r="I30" i="129"/>
  <c r="I52" i="129" s="1"/>
  <c r="AX19" i="129"/>
  <c r="C45" i="129"/>
  <c r="C89" i="129" s="1"/>
  <c r="E45" i="129"/>
  <c r="E89" i="129" s="1"/>
  <c r="Q22" i="129"/>
  <c r="J90" i="129" s="1"/>
  <c r="E90" i="129"/>
  <c r="G47" i="129"/>
  <c r="G69" i="129" s="1"/>
  <c r="S6" i="129"/>
  <c r="K74" i="129" s="1"/>
  <c r="N85" i="129"/>
  <c r="L14" i="131"/>
  <c r="L10" i="131"/>
  <c r="K16" i="131"/>
  <c r="I44" i="129"/>
  <c r="I88" i="129" s="1"/>
  <c r="Q88" i="129" s="1"/>
  <c r="P95" i="129" s="1"/>
  <c r="I32" i="129"/>
  <c r="I76" i="129" s="1"/>
  <c r="L11" i="131"/>
  <c r="L22" i="131"/>
  <c r="L24" i="131"/>
  <c r="I34" i="129"/>
  <c r="I78" i="129" s="1"/>
  <c r="J13" i="131"/>
  <c r="J16" i="131"/>
  <c r="J10" i="131"/>
  <c r="L9" i="131"/>
  <c r="L27" i="131" s="1"/>
  <c r="L15" i="131"/>
  <c r="J12" i="131"/>
  <c r="L25" i="131"/>
  <c r="L13" i="131"/>
  <c r="Q79" i="129"/>
  <c r="G95" i="129" s="1"/>
  <c r="M19" i="131" s="1"/>
  <c r="Q76" i="129"/>
  <c r="D95" i="129" s="1"/>
  <c r="M13" i="131" s="1"/>
  <c r="C48" i="129" l="1"/>
  <c r="E83" i="129"/>
  <c r="T22" i="129"/>
  <c r="K68" i="129" s="1"/>
  <c r="I31" i="129"/>
  <c r="I75" i="129" s="1"/>
  <c r="E85" i="129"/>
  <c r="K15" i="131"/>
  <c r="N21" i="131"/>
  <c r="J11" i="131"/>
  <c r="L16" i="131"/>
  <c r="K12" i="131"/>
  <c r="C46" i="129"/>
  <c r="N12" i="131"/>
  <c r="K13" i="131"/>
  <c r="J9" i="131"/>
  <c r="J27" i="131" s="1"/>
  <c r="L17" i="131"/>
  <c r="I33" i="129"/>
  <c r="I77" i="129" s="1"/>
  <c r="J52" i="129"/>
  <c r="T6" i="129"/>
  <c r="K52" i="129" s="1"/>
  <c r="N10" i="131"/>
  <c r="N9" i="131"/>
  <c r="N27" i="131" s="1"/>
  <c r="E86" i="129"/>
  <c r="I42" i="129"/>
  <c r="I86" i="129" s="1"/>
  <c r="K9" i="131"/>
  <c r="K27" i="131" s="1"/>
  <c r="J24" i="131"/>
  <c r="J21" i="131"/>
  <c r="J22" i="131"/>
  <c r="J20" i="131"/>
  <c r="J23" i="131"/>
  <c r="K24" i="131"/>
  <c r="I45" i="129"/>
  <c r="I89" i="129" s="1"/>
  <c r="Q89" i="129" s="1"/>
  <c r="Q95" i="129" s="1"/>
  <c r="N20" i="131"/>
  <c r="N13" i="131"/>
  <c r="J17" i="131"/>
  <c r="S22" i="129"/>
  <c r="K90" i="129" s="1"/>
  <c r="N16" i="131"/>
  <c r="N87" i="129"/>
  <c r="J91" i="129"/>
  <c r="J92" i="129"/>
  <c r="K11" i="131"/>
  <c r="L23" i="131"/>
  <c r="L21" i="131"/>
  <c r="N15" i="131"/>
  <c r="E81" i="129"/>
  <c r="T24" i="129"/>
  <c r="K70" i="129" s="1"/>
  <c r="J70" i="129"/>
  <c r="K17" i="131"/>
  <c r="N23" i="131"/>
  <c r="E84" i="129"/>
  <c r="T23" i="129"/>
  <c r="K69" i="129" s="1"/>
  <c r="K20" i="131"/>
  <c r="K23" i="131"/>
  <c r="C30" i="129"/>
  <c r="K14" i="131"/>
  <c r="Q83" i="129"/>
  <c r="K95" i="129" s="1"/>
  <c r="N14" i="131"/>
  <c r="K25" i="131"/>
  <c r="E80" i="129"/>
  <c r="I36" i="129"/>
  <c r="I80" i="129" s="1"/>
  <c r="K22" i="131"/>
  <c r="Q85" i="129"/>
  <c r="M95" i="129" s="1"/>
  <c r="M24" i="131" s="1"/>
  <c r="N24" i="131"/>
  <c r="N25" i="131"/>
  <c r="J15" i="131"/>
  <c r="E79" i="129"/>
  <c r="I38" i="129"/>
  <c r="I82" i="129" s="1"/>
  <c r="Q82" i="129" s="1"/>
  <c r="J95" i="129" s="1"/>
  <c r="N11" i="131"/>
  <c r="J25" i="131"/>
  <c r="L20" i="131"/>
  <c r="K10" i="131"/>
  <c r="E87" i="129"/>
  <c r="I43" i="129"/>
  <c r="I87" i="129" s="1"/>
  <c r="N86" i="129"/>
  <c r="Q84" i="129"/>
  <c r="L95" i="129" s="1"/>
  <c r="O20" i="131"/>
  <c r="P21" i="131"/>
  <c r="O22" i="131"/>
  <c r="P23" i="131"/>
  <c r="O23" i="131"/>
  <c r="O24" i="131"/>
  <c r="P20" i="131"/>
  <c r="P24" i="131"/>
  <c r="P27" i="131" s="1"/>
  <c r="P22" i="131"/>
  <c r="M11" i="131"/>
  <c r="M16" i="131"/>
  <c r="M25" i="131"/>
  <c r="M14" i="131"/>
  <c r="M10" i="131"/>
  <c r="M12" i="131"/>
  <c r="M15" i="131"/>
  <c r="M17" i="131"/>
  <c r="M9" i="131"/>
  <c r="M27" i="131" s="1"/>
  <c r="M21" i="131" l="1"/>
  <c r="M22" i="131"/>
  <c r="M20" i="131"/>
  <c r="M23" i="131"/>
  <c r="Q87" i="129"/>
  <c r="O95" i="129" s="1"/>
  <c r="O27" i="13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Jhomayra</author>
  </authors>
  <commentList>
    <comment ref="K223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Jhomayra:</t>
        </r>
        <r>
          <rPr>
            <sz val="9"/>
            <color indexed="81"/>
            <rFont val="Tahoma"/>
            <family val="2"/>
          </rPr>
          <t xml:space="preserve">
Si la excentricidad es positiva, entonces esta a la izquierda del centro de la base de la zapata,si es negativo esta a la derecha.</t>
        </r>
      </text>
    </comment>
  </commentList>
</comments>
</file>

<file path=xl/sharedStrings.xml><?xml version="1.0" encoding="utf-8"?>
<sst xmlns="http://schemas.openxmlformats.org/spreadsheetml/2006/main" count="667" uniqueCount="419">
  <si>
    <t>m</t>
  </si>
  <si>
    <t>H</t>
  </si>
  <si>
    <t>Cargas Verticales</t>
  </si>
  <si>
    <t>Fuerza</t>
  </si>
  <si>
    <t>Brazo</t>
  </si>
  <si>
    <t>(m)</t>
  </si>
  <si>
    <t>Momento</t>
  </si>
  <si>
    <t>DC</t>
  </si>
  <si>
    <t>EV</t>
  </si>
  <si>
    <t>EH</t>
  </si>
  <si>
    <t>LS</t>
  </si>
  <si>
    <t>Peso relleno</t>
  </si>
  <si>
    <t>SC sobre relleno</t>
  </si>
  <si>
    <t>Cargas Horizontales</t>
  </si>
  <si>
    <t>EQ</t>
  </si>
  <si>
    <t>Comp.hz Empuje</t>
  </si>
  <si>
    <t>Empuje por sobrecarga</t>
  </si>
  <si>
    <t>Empuje de tierra por sismo (Mononobe Okabe)</t>
  </si>
  <si>
    <t>Vu</t>
  </si>
  <si>
    <t>Total</t>
  </si>
  <si>
    <t>MVu</t>
  </si>
  <si>
    <t>MHu</t>
  </si>
  <si>
    <t>e</t>
  </si>
  <si>
    <t>u</t>
  </si>
  <si>
    <t>Fr</t>
  </si>
  <si>
    <t>Φs</t>
  </si>
  <si>
    <t>ΦsFr</t>
  </si>
  <si>
    <t>d</t>
  </si>
  <si>
    <t>mm</t>
  </si>
  <si>
    <t>L1</t>
  </si>
  <si>
    <t>L2</t>
  </si>
  <si>
    <t>Kg</t>
  </si>
  <si>
    <t>Barras</t>
  </si>
  <si>
    <t>Para barras Nº19 o menores y alambres corrugados</t>
  </si>
  <si>
    <t>in</t>
  </si>
  <si>
    <t>ld =</t>
  </si>
  <si>
    <t>H=</t>
  </si>
  <si>
    <t>B=</t>
  </si>
  <si>
    <t>B/4 a B/3 =</t>
  </si>
  <si>
    <r>
      <t>B-b</t>
    </r>
    <r>
      <rPr>
        <vertAlign val="subscript"/>
        <sz val="10"/>
        <rFont val="Arial Narrow"/>
        <family val="2"/>
      </rPr>
      <t>1</t>
    </r>
    <r>
      <rPr>
        <sz val="10"/>
        <rFont val="Arial Narrow"/>
        <family val="2"/>
      </rPr>
      <t>-b</t>
    </r>
    <r>
      <rPr>
        <vertAlign val="subscript"/>
        <sz val="10"/>
        <rFont val="Arial Narrow"/>
        <family val="2"/>
      </rPr>
      <t>2</t>
    </r>
    <r>
      <rPr>
        <sz val="10"/>
        <rFont val="Arial Narrow"/>
        <family val="2"/>
      </rPr>
      <t>=</t>
    </r>
  </si>
  <si>
    <t>0.4H a 0.7H =</t>
  </si>
  <si>
    <t>Corona</t>
  </si>
  <si>
    <t>Base</t>
  </si>
  <si>
    <t>Talón</t>
  </si>
  <si>
    <t>Pantalla</t>
  </si>
  <si>
    <t>Altura corona</t>
  </si>
  <si>
    <t>Peso específico del relleno</t>
  </si>
  <si>
    <t>Peso específico del concreto</t>
  </si>
  <si>
    <t>Donde:</t>
  </si>
  <si>
    <t>A=</t>
  </si>
  <si>
    <r>
      <t>V</t>
    </r>
    <r>
      <rPr>
        <vertAlign val="subscript"/>
        <sz val="10"/>
        <rFont val="Arial Narrow"/>
        <family val="2"/>
      </rPr>
      <t>L</t>
    </r>
  </si>
  <si>
    <r>
      <t>M</t>
    </r>
    <r>
      <rPr>
        <vertAlign val="subscript"/>
        <sz val="10"/>
        <rFont val="Arial Narrow"/>
        <family val="2"/>
      </rPr>
      <t>V</t>
    </r>
  </si>
  <si>
    <r>
      <t>M</t>
    </r>
    <r>
      <rPr>
        <vertAlign val="subscript"/>
        <sz val="10"/>
        <rFont val="Arial Narrow"/>
        <family val="2"/>
      </rPr>
      <t>H</t>
    </r>
  </si>
  <si>
    <r>
      <t>X</t>
    </r>
    <r>
      <rPr>
        <vertAlign val="subscript"/>
        <sz val="10"/>
        <rFont val="Arial Narrow"/>
        <family val="2"/>
      </rPr>
      <t>O</t>
    </r>
  </si>
  <si>
    <r>
      <t>e</t>
    </r>
    <r>
      <rPr>
        <vertAlign val="subscript"/>
        <sz val="10"/>
        <rFont val="Arial Narrow"/>
        <family val="2"/>
      </rPr>
      <t>max</t>
    </r>
  </si>
  <si>
    <r>
      <t>h</t>
    </r>
    <r>
      <rPr>
        <vertAlign val="subscript"/>
        <sz val="10"/>
        <rFont val="Arial Narrow"/>
        <family val="2"/>
      </rPr>
      <t>c</t>
    </r>
    <r>
      <rPr>
        <sz val="10"/>
        <rFont val="Arial Narrow"/>
        <family val="2"/>
      </rPr>
      <t>=</t>
    </r>
  </si>
  <si>
    <t>Comp. Empuje Vert.</t>
  </si>
  <si>
    <t>7.2. Deslizamiento</t>
  </si>
  <si>
    <t>7.1. Excentricidad</t>
  </si>
  <si>
    <r>
      <t>K</t>
    </r>
    <r>
      <rPr>
        <vertAlign val="subscript"/>
        <sz val="10"/>
        <rFont val="Arial Narrow"/>
        <family val="2"/>
      </rPr>
      <t xml:space="preserve">AE </t>
    </r>
    <r>
      <rPr>
        <sz val="10"/>
        <rFont val="Arial Narrow"/>
        <family val="2"/>
      </rPr>
      <t>=</t>
    </r>
  </si>
  <si>
    <r>
      <t>sin(</t>
    </r>
    <r>
      <rPr>
        <sz val="10"/>
        <rFont val="Symbol"/>
        <family val="1"/>
        <charset val="2"/>
      </rPr>
      <t>f+d</t>
    </r>
    <r>
      <rPr>
        <sz val="10"/>
        <rFont val="Arial Narrow"/>
        <family val="2"/>
      </rPr>
      <t>)sin(</t>
    </r>
    <r>
      <rPr>
        <sz val="10"/>
        <rFont val="Symbol"/>
        <family val="1"/>
        <charset val="2"/>
      </rPr>
      <t>f-q-</t>
    </r>
    <r>
      <rPr>
        <sz val="10"/>
        <rFont val="Arial Narrow"/>
        <family val="2"/>
      </rPr>
      <t>i)</t>
    </r>
  </si>
  <si>
    <r>
      <t>cos</t>
    </r>
    <r>
      <rPr>
        <vertAlign val="superscript"/>
        <sz val="10"/>
        <rFont val="Arial Narrow"/>
        <family val="2"/>
      </rPr>
      <t>2</t>
    </r>
    <r>
      <rPr>
        <sz val="10"/>
        <rFont val="Arial Narrow"/>
        <family val="2"/>
      </rPr>
      <t>(</t>
    </r>
    <r>
      <rPr>
        <sz val="10"/>
        <rFont val="Symbol"/>
        <family val="1"/>
        <charset val="2"/>
      </rPr>
      <t>f-q-b</t>
    </r>
    <r>
      <rPr>
        <sz val="10"/>
        <rFont val="Arial Narrow"/>
        <family val="2"/>
      </rPr>
      <t>)</t>
    </r>
  </si>
  <si>
    <r>
      <t>cos(</t>
    </r>
    <r>
      <rPr>
        <sz val="10"/>
        <rFont val="Symbol"/>
        <family val="1"/>
        <charset val="2"/>
      </rPr>
      <t>d+b+q</t>
    </r>
    <r>
      <rPr>
        <sz val="10"/>
        <rFont val="Arial Narrow"/>
        <family val="2"/>
      </rPr>
      <t>)cos(i-</t>
    </r>
    <r>
      <rPr>
        <sz val="10"/>
        <rFont val="Symbol"/>
        <family val="1"/>
        <charset val="2"/>
      </rPr>
      <t>b</t>
    </r>
    <r>
      <rPr>
        <sz val="10"/>
        <rFont val="Arial Narrow"/>
        <family val="2"/>
      </rPr>
      <t>)</t>
    </r>
  </si>
  <si>
    <t>-2</t>
  </si>
  <si>
    <r>
      <t>cos</t>
    </r>
    <r>
      <rPr>
        <sz val="10"/>
        <rFont val="Symbol"/>
        <family val="1"/>
        <charset val="2"/>
      </rPr>
      <t>q</t>
    </r>
    <r>
      <rPr>
        <sz val="10"/>
        <rFont val="Arial Narrow"/>
        <family val="2"/>
      </rPr>
      <t>cos</t>
    </r>
    <r>
      <rPr>
        <vertAlign val="superscript"/>
        <sz val="10"/>
        <rFont val="Arial Narrow"/>
        <family val="2"/>
      </rPr>
      <t>2</t>
    </r>
    <r>
      <rPr>
        <sz val="10"/>
        <rFont val="Symbol"/>
        <family val="1"/>
        <charset val="2"/>
      </rPr>
      <t>b</t>
    </r>
    <r>
      <rPr>
        <sz val="10"/>
        <rFont val="Arial Narrow"/>
        <family val="2"/>
      </rPr>
      <t>cos</t>
    </r>
    <r>
      <rPr>
        <sz val="10"/>
        <rFont val="Symbol"/>
        <family val="1"/>
        <charset val="2"/>
      </rPr>
      <t>(d+b+q)</t>
    </r>
  </si>
  <si>
    <r>
      <rPr>
        <vertAlign val="subscript"/>
        <sz val="10"/>
        <rFont val="Arial Narrow"/>
        <family val="2"/>
      </rPr>
      <t xml:space="preserve">x </t>
    </r>
    <r>
      <rPr>
        <sz val="10"/>
        <rFont val="Arial Narrow"/>
        <family val="2"/>
      </rPr>
      <t xml:space="preserve">  1  +</t>
    </r>
  </si>
  <si>
    <r>
      <rPr>
        <sz val="10"/>
        <rFont val="Symbol"/>
        <family val="1"/>
        <charset val="2"/>
      </rPr>
      <t>q</t>
    </r>
    <r>
      <rPr>
        <sz val="10"/>
        <rFont val="Arial Narrow"/>
        <family val="2"/>
      </rPr>
      <t>=</t>
    </r>
  </si>
  <si>
    <r>
      <t>¡[</t>
    </r>
    <r>
      <rPr>
        <sz val="10"/>
        <rFont val="Arial Narrow"/>
        <family val="2"/>
      </rPr>
      <t>sin</t>
    </r>
    <r>
      <rPr>
        <vertAlign val="superscript"/>
        <sz val="10"/>
        <rFont val="Arial Narrow"/>
        <family val="2"/>
      </rPr>
      <t>2</t>
    </r>
    <r>
      <rPr>
        <sz val="10"/>
        <rFont val="Symbol"/>
        <family val="1"/>
        <charset val="2"/>
      </rPr>
      <t>q</t>
    </r>
    <r>
      <rPr>
        <sz val="10"/>
        <rFont val="Arial Narrow"/>
        <family val="2"/>
      </rPr>
      <t>sin(</t>
    </r>
    <r>
      <rPr>
        <sz val="10"/>
        <rFont val="Symbol"/>
        <family val="1"/>
        <charset val="2"/>
      </rPr>
      <t>q-d</t>
    </r>
    <r>
      <rPr>
        <sz val="10"/>
        <rFont val="Arial Narrow"/>
        <family val="2"/>
      </rPr>
      <t>)</t>
    </r>
    <r>
      <rPr>
        <sz val="10"/>
        <rFont val="Symbol"/>
        <family val="1"/>
        <charset val="2"/>
      </rPr>
      <t>]</t>
    </r>
  </si>
  <si>
    <r>
      <t>sin(</t>
    </r>
    <r>
      <rPr>
        <sz val="10"/>
        <rFont val="Symbol"/>
        <family val="1"/>
        <charset val="2"/>
      </rPr>
      <t>q-d</t>
    </r>
    <r>
      <rPr>
        <sz val="10"/>
        <rFont val="Arial Narrow"/>
        <family val="2"/>
      </rPr>
      <t>)sin(</t>
    </r>
    <r>
      <rPr>
        <sz val="10"/>
        <rFont val="Symbol"/>
        <family val="1"/>
        <charset val="2"/>
      </rPr>
      <t>q+b</t>
    </r>
    <r>
      <rPr>
        <sz val="10"/>
        <rFont val="Arial Narrow"/>
        <family val="2"/>
      </rPr>
      <t>)</t>
    </r>
  </si>
  <si>
    <r>
      <t>sin(</t>
    </r>
    <r>
      <rPr>
        <sz val="10"/>
        <rFont val="Symbol"/>
        <family val="1"/>
        <charset val="2"/>
      </rPr>
      <t>f</t>
    </r>
    <r>
      <rPr>
        <vertAlign val="subscript"/>
        <sz val="10"/>
        <rFont val="Arial Narrow"/>
        <family val="2"/>
      </rPr>
      <t>f</t>
    </r>
    <r>
      <rPr>
        <sz val="10"/>
        <rFont val="Symbol"/>
        <family val="1"/>
        <charset val="2"/>
      </rPr>
      <t>+d</t>
    </r>
    <r>
      <rPr>
        <sz val="10"/>
        <rFont val="Arial Narrow"/>
        <family val="2"/>
      </rPr>
      <t>)sin(</t>
    </r>
    <r>
      <rPr>
        <sz val="10"/>
        <rFont val="Symbol"/>
        <family val="1"/>
        <charset val="2"/>
      </rPr>
      <t>f</t>
    </r>
    <r>
      <rPr>
        <vertAlign val="subscript"/>
        <sz val="10"/>
        <rFont val="Arial Narrow"/>
        <family val="2"/>
      </rPr>
      <t>f</t>
    </r>
    <r>
      <rPr>
        <sz val="10"/>
        <rFont val="Symbol"/>
        <family val="1"/>
        <charset val="2"/>
      </rPr>
      <t>-b</t>
    </r>
    <r>
      <rPr>
        <sz val="10"/>
        <rFont val="Arial Narrow"/>
        <family val="2"/>
      </rPr>
      <t>)</t>
    </r>
  </si>
  <si>
    <r>
      <t>sin</t>
    </r>
    <r>
      <rPr>
        <vertAlign val="superscript"/>
        <sz val="10"/>
        <rFont val="Arial Narrow"/>
        <family val="2"/>
      </rPr>
      <t>2</t>
    </r>
    <r>
      <rPr>
        <sz val="10"/>
        <rFont val="Arial Narrow"/>
        <family val="2"/>
      </rPr>
      <t>(</t>
    </r>
    <r>
      <rPr>
        <sz val="10"/>
        <rFont val="Symbol"/>
        <family val="1"/>
        <charset val="2"/>
      </rPr>
      <t>q+f</t>
    </r>
    <r>
      <rPr>
        <sz val="10"/>
        <rFont val="Arial Narrow"/>
        <family val="2"/>
      </rPr>
      <t>)</t>
    </r>
  </si>
  <si>
    <t>Ángulo de inclinación de la suerperficie de relleno</t>
  </si>
  <si>
    <t>c</t>
  </si>
  <si>
    <r>
      <t>Kg/cm</t>
    </r>
    <r>
      <rPr>
        <vertAlign val="superscript"/>
        <sz val="10"/>
        <rFont val="Arial Narrow"/>
        <family val="2"/>
      </rPr>
      <t>2</t>
    </r>
  </si>
  <si>
    <r>
      <t>(kg/cm</t>
    </r>
    <r>
      <rPr>
        <vertAlign val="superscript"/>
        <sz val="10"/>
        <rFont val="Arial Narrow"/>
        <family val="2"/>
      </rPr>
      <t>2</t>
    </r>
    <r>
      <rPr>
        <sz val="10"/>
        <rFont val="Arial Narrow"/>
        <family val="2"/>
      </rPr>
      <t>)</t>
    </r>
  </si>
  <si>
    <t>(AASHTO Tabla 3.4.1-1)</t>
  </si>
  <si>
    <t>(AASHTO 11.6.3.3)</t>
  </si>
  <si>
    <t>Luego:</t>
  </si>
  <si>
    <t>R=</t>
  </si>
  <si>
    <t>Kp=</t>
  </si>
  <si>
    <t>Factor de reducción R de Kp</t>
  </si>
  <si>
    <t>-</t>
  </si>
  <si>
    <t xml:space="preserve">Ángulo de fricción entre el muro y relleno </t>
  </si>
  <si>
    <t>Ángulo de inclinación del muro del lado del terreno</t>
  </si>
  <si>
    <t>Angulo del muro con la vertical</t>
  </si>
  <si>
    <t>Ubicación de las celdas de coordenadas</t>
  </si>
  <si>
    <t>Dibujo de todos los muros</t>
  </si>
  <si>
    <t>Diametro(pulg)</t>
  </si>
  <si>
    <t>Spaciamiento (m)</t>
  </si>
  <si>
    <t>Armadura de muros</t>
  </si>
  <si>
    <r>
      <t>h</t>
    </r>
    <r>
      <rPr>
        <vertAlign val="subscript"/>
        <sz val="10"/>
        <rFont val="Arial"/>
        <family val="2"/>
      </rPr>
      <t>0</t>
    </r>
  </si>
  <si>
    <t>B1</t>
  </si>
  <si>
    <t>B2</t>
  </si>
  <si>
    <t>B3</t>
  </si>
  <si>
    <t>A1</t>
  </si>
  <si>
    <t>A2</t>
  </si>
  <si>
    <t>A5</t>
  </si>
  <si>
    <t>A7</t>
  </si>
  <si>
    <t>Longitud básica de anclaje ldh   ACI 12.5.2</t>
  </si>
  <si>
    <t>fy</t>
  </si>
  <si>
    <t>f´c</t>
  </si>
  <si>
    <t>ldh</t>
  </si>
  <si>
    <t>&gt;= 8db</t>
  </si>
  <si>
    <t>Min altura de zapata</t>
  </si>
  <si>
    <t>Cantidad de acero (und)</t>
  </si>
  <si>
    <t>LRFD</t>
  </si>
  <si>
    <t>Peso de conjunto de varillas (Kg/m3/m)</t>
  </si>
  <si>
    <t>l</t>
  </si>
  <si>
    <t>Recomendado</t>
  </si>
  <si>
    <r>
      <t>T/m</t>
    </r>
    <r>
      <rPr>
        <vertAlign val="superscript"/>
        <sz val="10"/>
        <rFont val="Arial Narrow"/>
        <family val="2"/>
      </rPr>
      <t>2</t>
    </r>
  </si>
  <si>
    <t>Coeficiente de empuje pasivo reducido</t>
  </si>
  <si>
    <t>°</t>
  </si>
  <si>
    <r>
      <t>T/m</t>
    </r>
    <r>
      <rPr>
        <vertAlign val="superscript"/>
        <sz val="10"/>
        <rFont val="Arial Narrow"/>
        <family val="2"/>
      </rPr>
      <t>3</t>
    </r>
  </si>
  <si>
    <r>
      <rPr>
        <sz val="10"/>
        <rFont val="Symbol"/>
        <family val="1"/>
        <charset val="2"/>
      </rPr>
      <t>d</t>
    </r>
    <r>
      <rPr>
        <sz val="10"/>
        <rFont val="Arial Narrow"/>
        <family val="2"/>
      </rPr>
      <t>=</t>
    </r>
  </si>
  <si>
    <r>
      <rPr>
        <sz val="10"/>
        <rFont val="Symbol"/>
        <family val="1"/>
        <charset val="2"/>
      </rPr>
      <t>g</t>
    </r>
    <r>
      <rPr>
        <vertAlign val="subscript"/>
        <sz val="10.5"/>
        <rFont val="Arial Narrow"/>
        <family val="2"/>
      </rPr>
      <t>r</t>
    </r>
    <r>
      <rPr>
        <sz val="10.5"/>
        <rFont val="Arial Narrow"/>
        <family val="2"/>
      </rPr>
      <t>=</t>
    </r>
  </si>
  <si>
    <r>
      <rPr>
        <sz val="10"/>
        <rFont val="Symbol"/>
        <family val="1"/>
        <charset val="2"/>
      </rPr>
      <t>g</t>
    </r>
    <r>
      <rPr>
        <vertAlign val="subscript"/>
        <sz val="10.5"/>
        <rFont val="Arial Narrow"/>
        <family val="2"/>
      </rPr>
      <t>c</t>
    </r>
    <r>
      <rPr>
        <sz val="10.5"/>
        <rFont val="Arial Narrow"/>
        <family val="2"/>
      </rPr>
      <t>=</t>
    </r>
  </si>
  <si>
    <r>
      <rPr>
        <sz val="10"/>
        <rFont val="Symbol"/>
        <family val="1"/>
        <charset val="2"/>
      </rPr>
      <t>b</t>
    </r>
    <r>
      <rPr>
        <sz val="10.5"/>
        <rFont val="Arial Narrow"/>
        <family val="2"/>
      </rPr>
      <t>=</t>
    </r>
  </si>
  <si>
    <t>=</t>
  </si>
  <si>
    <r>
      <t>Ф</t>
    </r>
    <r>
      <rPr>
        <sz val="10"/>
        <rFont val="Symbol"/>
        <family val="1"/>
        <charset val="2"/>
      </rPr>
      <t>³</t>
    </r>
    <r>
      <rPr>
        <sz val="10"/>
        <rFont val="Arial Narrow"/>
        <family val="2"/>
      </rPr>
      <t>i+θ</t>
    </r>
  </si>
  <si>
    <r>
      <t>Øq</t>
    </r>
    <r>
      <rPr>
        <vertAlign val="subscript"/>
        <sz val="10"/>
        <rFont val="Arial Narrow"/>
        <family val="2"/>
      </rPr>
      <t>ULT</t>
    </r>
  </si>
  <si>
    <r>
      <t>q</t>
    </r>
    <r>
      <rPr>
        <vertAlign val="subscript"/>
        <sz val="10"/>
        <rFont val="Arial Narrow"/>
        <family val="2"/>
      </rPr>
      <t>ULT</t>
    </r>
  </si>
  <si>
    <t>Muro</t>
  </si>
  <si>
    <t>Punta</t>
  </si>
  <si>
    <t>Ka =</t>
  </si>
  <si>
    <r>
      <rPr>
        <sz val="10"/>
        <rFont val="Symbol"/>
        <family val="1"/>
        <charset val="2"/>
      </rPr>
      <t xml:space="preserve">¡ </t>
    </r>
    <r>
      <rPr>
        <sz val="10"/>
        <rFont val="Arial Narrow"/>
        <family val="2"/>
      </rPr>
      <t>=</t>
    </r>
  </si>
  <si>
    <t xml:space="preserve">    1+</t>
  </si>
  <si>
    <r>
      <rPr>
        <sz val="10"/>
        <rFont val="Arial Narrow"/>
        <family val="2"/>
      </rPr>
      <t xml:space="preserve">γ </t>
    </r>
    <r>
      <rPr>
        <sz val="10"/>
        <rFont val="Symbol"/>
        <family val="1"/>
        <charset val="2"/>
      </rPr>
      <t>=</t>
    </r>
  </si>
  <si>
    <t>Kh =</t>
  </si>
  <si>
    <t>Kv =</t>
  </si>
  <si>
    <t>i =</t>
  </si>
  <si>
    <t>f =</t>
  </si>
  <si>
    <t>b =</t>
  </si>
  <si>
    <t>d =</t>
  </si>
  <si>
    <t xml:space="preserve"> </t>
  </si>
  <si>
    <t>Max / ref.</t>
  </si>
  <si>
    <t>Min / ref.</t>
  </si>
  <si>
    <t>Heq =</t>
  </si>
  <si>
    <t>12*db</t>
  </si>
  <si>
    <t>Area</t>
  </si>
  <si>
    <t>m2</t>
  </si>
  <si>
    <t>Corte de terreno</t>
  </si>
  <si>
    <t>m3/m</t>
  </si>
  <si>
    <t>Relleno con material seleccionado</t>
  </si>
  <si>
    <t>Armadura</t>
  </si>
  <si>
    <t>Longitud</t>
  </si>
  <si>
    <t>PROYECTO: 181307: EXPEDIENTE TECNICO OBRAS DE CONTENCION</t>
  </si>
  <si>
    <t>Progresiva</t>
  </si>
  <si>
    <t>Progresiva Inicial</t>
  </si>
  <si>
    <t>Progresiva Final</t>
  </si>
  <si>
    <t>Altura</t>
  </si>
  <si>
    <t>Solado f'c=100Kg/cm2 e=5cm</t>
  </si>
  <si>
    <t>Concreto f'c=210Kg/cm2</t>
  </si>
  <si>
    <t>Encofrado Longitudinal</t>
  </si>
  <si>
    <t>Juntas de dilatacion</t>
  </si>
  <si>
    <t>corte CAD</t>
  </si>
  <si>
    <t>relleno CAD</t>
  </si>
  <si>
    <t>Km</t>
  </si>
  <si>
    <t>m3</t>
  </si>
  <si>
    <t>VOL</t>
  </si>
  <si>
    <t>RATIO</t>
  </si>
  <si>
    <t>ACERO/M</t>
  </si>
  <si>
    <t>L</t>
  </si>
  <si>
    <t>ACER</t>
  </si>
  <si>
    <t>MCA 2.5</t>
  </si>
  <si>
    <t>MCA 3.0</t>
  </si>
  <si>
    <t>MCA 4.0</t>
  </si>
  <si>
    <t>MCA 7.0</t>
  </si>
  <si>
    <t>5. COMBINACIONES DE CARGA</t>
  </si>
  <si>
    <t>6. CARGAS DE DISEÑO FACTORADAS</t>
  </si>
  <si>
    <t>A3</t>
  </si>
  <si>
    <t>A4</t>
  </si>
  <si>
    <t>L5</t>
  </si>
  <si>
    <t>A6</t>
  </si>
  <si>
    <t>L7</t>
  </si>
  <si>
    <t>A8 trans</t>
  </si>
  <si>
    <t>A9 trans</t>
  </si>
  <si>
    <t>A10 trans</t>
  </si>
  <si>
    <t>A11 trans</t>
  </si>
  <si>
    <t>Longitud de acero por (m)</t>
  </si>
  <si>
    <t>Tubos de Drenaje Longitudinal Diametro 6"</t>
  </si>
  <si>
    <t>Geocompuesto de drenaje (ambas caras con geotextil permeable - no tejido)</t>
  </si>
  <si>
    <r>
      <t>Ea = 0.5*</t>
    </r>
    <r>
      <rPr>
        <sz val="10"/>
        <rFont val="Symbol"/>
        <family val="1"/>
        <charset val="2"/>
      </rPr>
      <t>g</t>
    </r>
    <r>
      <rPr>
        <sz val="10"/>
        <rFont val="Arial Narrow"/>
        <family val="2"/>
      </rPr>
      <t>*H^2*Ka*1 =</t>
    </r>
  </si>
  <si>
    <r>
      <t>Eh = Ea*Cos(</t>
    </r>
    <r>
      <rPr>
        <sz val="10"/>
        <rFont val="Symbol"/>
        <family val="1"/>
        <charset val="2"/>
      </rPr>
      <t>d</t>
    </r>
    <r>
      <rPr>
        <sz val="12"/>
        <rFont val="Arial Narrow"/>
        <family val="2"/>
      </rPr>
      <t>) =</t>
    </r>
  </si>
  <si>
    <r>
      <t>Ev = Ea*Sin(</t>
    </r>
    <r>
      <rPr>
        <sz val="10"/>
        <rFont val="Symbol"/>
        <family val="1"/>
        <charset val="2"/>
      </rPr>
      <t>d</t>
    </r>
    <r>
      <rPr>
        <sz val="10"/>
        <rFont val="Arial Narrow"/>
        <family val="2"/>
      </rPr>
      <t>) =</t>
    </r>
  </si>
  <si>
    <t>UÑA</t>
  </si>
  <si>
    <t>Dimensiones de Uña</t>
  </si>
  <si>
    <t>Bmayor</t>
  </si>
  <si>
    <t>Bmenor</t>
  </si>
  <si>
    <t>h</t>
  </si>
  <si>
    <t>Uña</t>
  </si>
  <si>
    <t>A12</t>
  </si>
  <si>
    <t>A13trans</t>
  </si>
  <si>
    <t>Si/No</t>
  </si>
  <si>
    <t>Lg</t>
  </si>
  <si>
    <t>CF</t>
  </si>
  <si>
    <t>CA8</t>
  </si>
  <si>
    <t>CB7</t>
  </si>
  <si>
    <t>CB6</t>
  </si>
  <si>
    <t>CB5</t>
  </si>
  <si>
    <t>CB4</t>
  </si>
  <si>
    <t>CB3</t>
  </si>
  <si>
    <t>CC3</t>
  </si>
  <si>
    <t>a</t>
  </si>
  <si>
    <t>b</t>
  </si>
  <si>
    <r>
      <rPr>
        <sz val="10"/>
        <rFont val="Calibri"/>
        <family val="2"/>
      </rPr>
      <t>ϴ</t>
    </r>
    <r>
      <rPr>
        <sz val="8.5"/>
        <rFont val="Arial Narrow"/>
        <family val="2"/>
      </rPr>
      <t>1</t>
    </r>
  </si>
  <si>
    <r>
      <rPr>
        <sz val="10"/>
        <rFont val="Calibri"/>
        <family val="2"/>
      </rPr>
      <t>ϴ</t>
    </r>
    <r>
      <rPr>
        <sz val="8.5"/>
        <rFont val="Arial Narrow"/>
        <family val="2"/>
      </rPr>
      <t>2</t>
    </r>
  </si>
  <si>
    <t>c'</t>
  </si>
  <si>
    <t>d'</t>
  </si>
  <si>
    <t>Cc3</t>
  </si>
  <si>
    <t>cc</t>
  </si>
  <si>
    <t>Volumen (m3)</t>
  </si>
  <si>
    <t>Zapata</t>
  </si>
  <si>
    <t xml:space="preserve">Pantalla </t>
  </si>
  <si>
    <t>Hp=</t>
  </si>
  <si>
    <r>
      <t>Hz</t>
    </r>
    <r>
      <rPr>
        <sz val="10"/>
        <rFont val="Arial Narrow"/>
        <family val="2"/>
      </rPr>
      <t>=</t>
    </r>
  </si>
  <si>
    <t>Hr=</t>
  </si>
  <si>
    <t>B1=</t>
  </si>
  <si>
    <r>
      <t>B</t>
    </r>
    <r>
      <rPr>
        <vertAlign val="subscript"/>
        <sz val="10"/>
        <rFont val="Arial Narrow"/>
        <family val="2"/>
      </rPr>
      <t>2</t>
    </r>
    <r>
      <rPr>
        <sz val="10"/>
        <rFont val="Arial Narrow"/>
        <family val="2"/>
      </rPr>
      <t>=</t>
    </r>
  </si>
  <si>
    <r>
      <t>B</t>
    </r>
    <r>
      <rPr>
        <vertAlign val="subscript"/>
        <sz val="10"/>
        <rFont val="Arial Narrow"/>
        <family val="2"/>
      </rPr>
      <t>3</t>
    </r>
    <r>
      <rPr>
        <sz val="10"/>
        <rFont val="Arial Narrow"/>
        <family val="2"/>
      </rPr>
      <t>=</t>
    </r>
  </si>
  <si>
    <t>RECOMENDACIONES PARA DIMENSIONAR LA ZAPATA</t>
  </si>
  <si>
    <t xml:space="preserve">1. CARACTERÍSTICAS GEOMÉTRICAS DEL MURO </t>
  </si>
  <si>
    <t xml:space="preserve">N° </t>
  </si>
  <si>
    <t xml:space="preserve">Número de contrafuertes por módulo </t>
  </si>
  <si>
    <t xml:space="preserve">L </t>
  </si>
  <si>
    <t xml:space="preserve">Longitud del módulo </t>
  </si>
  <si>
    <t>2. PARÁMETROS DE DISEÑO</t>
  </si>
  <si>
    <t>Ángulo de fricción interna del suelo que empuja</t>
  </si>
  <si>
    <t>Фr</t>
  </si>
  <si>
    <t xml:space="preserve">2.1 Propiedades de los materiales </t>
  </si>
  <si>
    <t>Sobrecarga vehicular AASHTO 3.11.6.4</t>
  </si>
  <si>
    <t>RECOMENDACIONES DE DIMENSIONAMIENTO</t>
  </si>
  <si>
    <t xml:space="preserve">PUENTES Y OBRAS DE ARTE                                            Ing. Arturo Rodríguez Serquén </t>
  </si>
  <si>
    <t>AASHTO3.11.6.4: Altura equivalente de suelo por carga vehicular en muros</t>
  </si>
  <si>
    <t>(AASHTO Eq. 3.11.5.3-1)</t>
  </si>
  <si>
    <t>(AASHTO Eq. 3.11.5.3-2)</t>
  </si>
  <si>
    <t>3.11.5.3—Active Lateral Earth Pressure</t>
  </si>
  <si>
    <t>Coefficient, k</t>
  </si>
  <si>
    <t xml:space="preserve">Considerando ancho de 1m de muro </t>
  </si>
  <si>
    <r>
      <rPr>
        <sz val="10"/>
        <rFont val="Symbol"/>
        <family val="1"/>
        <charset val="2"/>
      </rPr>
      <t xml:space="preserve">q </t>
    </r>
    <r>
      <rPr>
        <sz val="9"/>
        <rFont val="Symbol"/>
        <family val="1"/>
        <charset val="2"/>
      </rPr>
      <t>MO</t>
    </r>
    <r>
      <rPr>
        <sz val="10"/>
        <rFont val="Arial Narrow"/>
        <family val="2"/>
      </rPr>
      <t>=</t>
    </r>
  </si>
  <si>
    <r>
      <t xml:space="preserve">q </t>
    </r>
    <r>
      <rPr>
        <sz val="9"/>
        <rFont val="Symbol"/>
        <family val="1"/>
        <charset val="2"/>
      </rPr>
      <t>MO</t>
    </r>
    <r>
      <rPr>
        <sz val="10"/>
        <rFont val="Symbol"/>
        <family val="1"/>
        <charset val="2"/>
      </rPr>
      <t>=</t>
    </r>
    <r>
      <rPr>
        <sz val="10"/>
        <rFont val="Arial Narrow"/>
        <family val="2"/>
      </rPr>
      <t>arc tan(Kh/(1-Kv))°</t>
    </r>
  </si>
  <si>
    <t>(AASHTO A11.3.1-1)</t>
  </si>
  <si>
    <t>Eh =</t>
  </si>
  <si>
    <t>T</t>
  </si>
  <si>
    <t>3. CALCULO DE CARGAS DE DISEÑO</t>
  </si>
  <si>
    <t>a) Empuje Lateral Activo (Coulomb)</t>
  </si>
  <si>
    <t xml:space="preserve">b) Empuje sísmico (Mononobe - Okabe) A11.3.1 </t>
  </si>
  <si>
    <t>3.1. EMPUJE LATERAL DEL TERRENO</t>
  </si>
  <si>
    <t>3.2.  SOBRECARGA</t>
  </si>
  <si>
    <t>Presión generada por la carga vehicular  qL= Heq*γr</t>
  </si>
  <si>
    <t>Empuje lateral debido a la sobrecarga</t>
  </si>
  <si>
    <t>Contrafuerte</t>
  </si>
  <si>
    <t>f</t>
  </si>
  <si>
    <t>g</t>
  </si>
  <si>
    <t>Pp</t>
  </si>
  <si>
    <t>Pc</t>
  </si>
  <si>
    <t>Pz</t>
  </si>
  <si>
    <t>T/contrafuerte</t>
  </si>
  <si>
    <t xml:space="preserve">Peso del contrafuerte </t>
  </si>
  <si>
    <t xml:space="preserve">Peso de la pantalla por metro lineal </t>
  </si>
  <si>
    <t xml:space="preserve">Peso de la zapata por metro lineal </t>
  </si>
  <si>
    <t>Altura total del muro</t>
  </si>
  <si>
    <t xml:space="preserve">m </t>
  </si>
  <si>
    <t xml:space="preserve">Altura de la pantalla </t>
  </si>
  <si>
    <t>Altura del suelo de  relleno</t>
  </si>
  <si>
    <t>Altura de la zapata</t>
  </si>
  <si>
    <t>k</t>
  </si>
  <si>
    <t xml:space="preserve">Espesor del contrafuerte </t>
  </si>
  <si>
    <t>3.4.  FUERZAS INERCIALES DEBIDO A LA ACCIÓN SÍSMICA</t>
  </si>
  <si>
    <t>Ipp_h</t>
  </si>
  <si>
    <t>Ipc_h</t>
  </si>
  <si>
    <t>Ipp_v</t>
  </si>
  <si>
    <t>Ipc_v</t>
  </si>
  <si>
    <t>Ipz_v</t>
  </si>
  <si>
    <t xml:space="preserve">Fuerza de inercia horizontal de la masa de la pantalla </t>
  </si>
  <si>
    <t>Fuerza de inercia horizontal de la masa de los contrafuertes</t>
  </si>
  <si>
    <t xml:space="preserve">Fuerza de inercia vertical de la masa de la pantalla </t>
  </si>
  <si>
    <t>Fuerza de inercia vertical de la masa de los contrafuertes</t>
  </si>
  <si>
    <t>Fuerza de inercia vertical de la masa de la zapata</t>
  </si>
  <si>
    <t>pant+ zap</t>
  </si>
  <si>
    <t>Contraf</t>
  </si>
  <si>
    <t>relleno</t>
  </si>
  <si>
    <t>4. RESUMEN DE  CARGAS VERTICALES Y HORIZONTALES SIN AMPLIFICAR POR MÓDULO</t>
  </si>
  <si>
    <t>Peso muro (zapata + pantalla+contrafuertes)</t>
  </si>
  <si>
    <t>Brazo desde 0,0</t>
  </si>
  <si>
    <t>Puntos para el gráfico</t>
  </si>
  <si>
    <t>Volumen 1 zapata</t>
  </si>
  <si>
    <t>Volumen 2 pantalla</t>
  </si>
  <si>
    <t>Volumen 3 Contrafuerte</t>
  </si>
  <si>
    <t>Y</t>
  </si>
  <si>
    <t xml:space="preserve">brazo </t>
  </si>
  <si>
    <t>Cálculo de centroide de pantalla+zapata+contrafuerte por módulo</t>
  </si>
  <si>
    <t xml:space="preserve">Areas </t>
  </si>
  <si>
    <t xml:space="preserve">Centroide del area del contrafuerte con respecto a su borde izquierdo </t>
  </si>
  <si>
    <t>Centroide del volumen del módulo con respecto a 0,0</t>
  </si>
  <si>
    <t>peso</t>
  </si>
  <si>
    <t>Centroide del area del relleno con respecto a 0,0</t>
  </si>
  <si>
    <t>Fuerza inercial vertical pant+zap+cont</t>
  </si>
  <si>
    <t>Fuerza inercial vertical del relleno</t>
  </si>
  <si>
    <t>Fuerza inercial de pantalla + contrafuertes+relleno</t>
  </si>
  <si>
    <t>Combinaciones</t>
  </si>
  <si>
    <t>Resistencia I (a)</t>
  </si>
  <si>
    <t>Resistencia I (b)</t>
  </si>
  <si>
    <t>Resistencia III (a)</t>
  </si>
  <si>
    <t>Resistencia III (b)</t>
  </si>
  <si>
    <t>Evento Extremo I (a)</t>
  </si>
  <si>
    <t>Evento Extremo I (b)</t>
  </si>
  <si>
    <t>(T)</t>
  </si>
  <si>
    <t>(T.m)</t>
  </si>
  <si>
    <t>Cargas Verticales amplificadas por módulo Vu (T)</t>
  </si>
  <si>
    <t xml:space="preserve">Cargas sin amplificar </t>
  </si>
  <si>
    <t>Momento debido a cargas verticales por módulo con respecto a   0,0 (T.m)</t>
  </si>
  <si>
    <t>Cargas Horizontales amplificadas Hu por módulo (T)</t>
  </si>
  <si>
    <t>7. VERIFICACIÓN DE LA ESTABILIDAD</t>
  </si>
  <si>
    <t>Deberan satisfacerse tres condiciones: Excentricidad, Deslizamiento y Hundimiento</t>
  </si>
  <si>
    <t>CDR</t>
  </si>
  <si>
    <r>
      <t>M</t>
    </r>
    <r>
      <rPr>
        <sz val="8"/>
        <rFont val="Arial Narrow"/>
        <family val="2"/>
      </rPr>
      <t>H</t>
    </r>
    <r>
      <rPr>
        <sz val="10"/>
        <rFont val="Arial Narrow"/>
        <family val="2"/>
      </rPr>
      <t>&lt;MV</t>
    </r>
  </si>
  <si>
    <t>(AASHTO 10.6.3.4, AASHTO T10.5.5.2.2-1)</t>
  </si>
  <si>
    <t>Ángulo de fricción interna del suelo de fundación</t>
  </si>
  <si>
    <t>Фf</t>
  </si>
  <si>
    <t>Hu</t>
  </si>
  <si>
    <t>Momentos debido a cargas Horizontales por módulos con respecto a 0,0   (T.m)</t>
  </si>
  <si>
    <t xml:space="preserve">Análisis considerando uña de enganche </t>
  </si>
  <si>
    <r>
      <rPr>
        <sz val="10"/>
        <rFont val="Calibri"/>
        <family val="2"/>
      </rPr>
      <t>σ</t>
    </r>
    <r>
      <rPr>
        <sz val="10"/>
        <rFont val="Arial Narrow"/>
        <family val="2"/>
      </rPr>
      <t>1</t>
    </r>
  </si>
  <si>
    <r>
      <rPr>
        <sz val="10"/>
        <rFont val="Calibri"/>
        <family val="2"/>
      </rPr>
      <t>σ</t>
    </r>
    <r>
      <rPr>
        <sz val="10"/>
        <rFont val="Arial Narrow"/>
        <family val="2"/>
      </rPr>
      <t>2</t>
    </r>
  </si>
  <si>
    <t>AASHTO  F3.11.5.4-1</t>
  </si>
  <si>
    <t>Kp'=</t>
  </si>
  <si>
    <t>Coeficiente de empuje pasivo estático (Espiral Logarítmica)</t>
  </si>
  <si>
    <t>kpe=</t>
  </si>
  <si>
    <t>δ</t>
  </si>
  <si>
    <t xml:space="preserve">Ángulo de fricción entre la estructura y el suelo 50-80%Фf (Recomendación  AASHTO C11.6.5) </t>
  </si>
  <si>
    <t>Coeficiente de empuje pasivo dinámico reducido</t>
  </si>
  <si>
    <r>
      <rPr>
        <sz val="10"/>
        <rFont val="Calibri"/>
        <family val="2"/>
      </rPr>
      <t>σ</t>
    </r>
    <r>
      <rPr>
        <sz val="10"/>
        <rFont val="Arial Narrow"/>
        <family val="2"/>
      </rPr>
      <t>1=</t>
    </r>
  </si>
  <si>
    <r>
      <rPr>
        <sz val="10"/>
        <rFont val="Calibri"/>
        <family val="2"/>
      </rPr>
      <t>σ</t>
    </r>
    <r>
      <rPr>
        <sz val="10"/>
        <rFont val="Arial Narrow"/>
        <family val="2"/>
      </rPr>
      <t>2=</t>
    </r>
  </si>
  <si>
    <t>T/m2</t>
  </si>
  <si>
    <r>
      <rPr>
        <sz val="10"/>
        <rFont val="Calibri"/>
        <family val="2"/>
      </rPr>
      <t>σ</t>
    </r>
    <r>
      <rPr>
        <sz val="10"/>
        <rFont val="Arial Narrow"/>
        <family val="2"/>
      </rPr>
      <t>3</t>
    </r>
  </si>
  <si>
    <r>
      <rPr>
        <sz val="10"/>
        <rFont val="Calibri"/>
        <family val="2"/>
      </rPr>
      <t>σ3</t>
    </r>
    <r>
      <rPr>
        <sz val="10"/>
        <rFont val="Arial Narrow"/>
        <family val="2"/>
      </rPr>
      <t>=</t>
    </r>
  </si>
  <si>
    <t>C. Estáticas</t>
  </si>
  <si>
    <t>C. Dinámicas</t>
  </si>
  <si>
    <t>Fr1</t>
  </si>
  <si>
    <t>Fr2</t>
  </si>
  <si>
    <t>Φs1</t>
  </si>
  <si>
    <t>Φs2</t>
  </si>
  <si>
    <t>hr</t>
  </si>
  <si>
    <t xml:space="preserve">Fuerza resistente por módulo debida al empuje pasivo </t>
  </si>
  <si>
    <t>Factor de reducción de resistencia  AASHTO T10.5.5.2.2-1, 10.5.5.3.3</t>
  </si>
  <si>
    <t>*Cuando la longitud embebida es menor a 1.5m, kpe se puede calcular con la misma metodología que para el caso estático.</t>
  </si>
  <si>
    <t>CDR=Resistencia reducida/Solicitación amplificada&gt;1</t>
  </si>
  <si>
    <t>Cálculo de centroide de contrafuerte</t>
  </si>
  <si>
    <t>Cálculo de centroide de relleno</t>
  </si>
  <si>
    <r>
      <t>Caso 1) Distr. Trapezoidal (e</t>
    </r>
    <r>
      <rPr>
        <b/>
        <sz val="10"/>
        <rFont val="Calibri"/>
        <family val="2"/>
      </rPr>
      <t>≤</t>
    </r>
    <r>
      <rPr>
        <b/>
        <sz val="10"/>
        <rFont val="Arial Narrow"/>
        <family val="2"/>
      </rPr>
      <t>B/6)</t>
    </r>
  </si>
  <si>
    <r>
      <t>Caso 2) Dsit. Uniforme Teoría de Meyerhof (e</t>
    </r>
    <r>
      <rPr>
        <b/>
        <sz val="10"/>
        <rFont val="Calibri"/>
        <family val="2"/>
      </rPr>
      <t>≥</t>
    </r>
    <r>
      <rPr>
        <b/>
        <sz val="9"/>
        <rFont val="Arial Narrow"/>
        <family val="2"/>
      </rPr>
      <t>B/6)</t>
    </r>
  </si>
  <si>
    <t>e (m)</t>
  </si>
  <si>
    <t xml:space="preserve">Caso </t>
  </si>
  <si>
    <t>s1</t>
  </si>
  <si>
    <t>s2</t>
  </si>
  <si>
    <r>
      <t xml:space="preserve">7.3. Hundimiento </t>
    </r>
    <r>
      <rPr>
        <sz val="10"/>
        <rFont val="Arial Narrow"/>
        <family val="2"/>
      </rPr>
      <t>(AASHTO 10.6.3.1.1-1, T10.5.5.2.2-1, 10.6.1.3)</t>
    </r>
  </si>
  <si>
    <t>x (m)</t>
  </si>
  <si>
    <r>
      <t>6V</t>
    </r>
    <r>
      <rPr>
        <vertAlign val="subscript"/>
        <sz val="9"/>
        <rFont val="Arial Narrow"/>
        <family val="2"/>
      </rPr>
      <t>u</t>
    </r>
    <r>
      <rPr>
        <sz val="9"/>
        <rFont val="Arial Narrow"/>
        <family val="2"/>
      </rPr>
      <t>.e /LB</t>
    </r>
    <r>
      <rPr>
        <vertAlign val="superscript"/>
        <sz val="9"/>
        <rFont val="Arial Narrow"/>
        <family val="2"/>
      </rPr>
      <t>2</t>
    </r>
  </si>
  <si>
    <r>
      <t>V</t>
    </r>
    <r>
      <rPr>
        <vertAlign val="subscript"/>
        <sz val="9"/>
        <rFont val="Arial Narrow"/>
        <family val="2"/>
      </rPr>
      <t>u</t>
    </r>
    <r>
      <rPr>
        <sz val="9"/>
        <rFont val="Arial Narrow"/>
        <family val="2"/>
      </rPr>
      <t xml:space="preserve"> /BL</t>
    </r>
  </si>
  <si>
    <t>Vu/L(B-2e)</t>
  </si>
  <si>
    <t>s1: Caso1)Vu /BL+ 6Vu.e /LB2;Caso 2) Vu/L(B-2e)</t>
  </si>
  <si>
    <t>s2: Caso1)Vu /BL- 6Vu.e /LB2;Caso 2) Vu/L(B-2e)</t>
  </si>
  <si>
    <t>x: Caso1) B-2e</t>
  </si>
  <si>
    <t>No borrar nunca</t>
  </si>
  <si>
    <t>Memoria de cálculo</t>
  </si>
  <si>
    <t xml:space="preserve">Puntos para vista elevacion </t>
  </si>
  <si>
    <t>Contrafuertes Estándar</t>
  </si>
  <si>
    <t>Cb3</t>
  </si>
  <si>
    <t>Cc4</t>
  </si>
  <si>
    <t>Cb4</t>
  </si>
  <si>
    <t>Cc5</t>
  </si>
  <si>
    <t>Cb5</t>
  </si>
  <si>
    <t>Cc6</t>
  </si>
  <si>
    <t>Cb6</t>
  </si>
  <si>
    <t>Cc7</t>
  </si>
  <si>
    <t>Cb7</t>
  </si>
  <si>
    <t>Cc8</t>
  </si>
  <si>
    <t>Cb8</t>
  </si>
  <si>
    <t>Ca8</t>
  </si>
  <si>
    <t>Tipo :</t>
  </si>
  <si>
    <t xml:space="preserve">Sin contrafuerte </t>
  </si>
  <si>
    <t xml:space="preserve">2.2 Parámetros sísmicos y sobrecarga vehicular </t>
  </si>
  <si>
    <r>
      <rPr>
        <sz val="10"/>
        <rFont val="Calibri"/>
        <family val="2"/>
      </rPr>
      <t>Δ</t>
    </r>
    <r>
      <rPr>
        <sz val="8.5"/>
        <rFont val="Arial Narrow"/>
        <family val="2"/>
      </rPr>
      <t>K</t>
    </r>
    <r>
      <rPr>
        <sz val="6"/>
        <rFont val="Arial Narrow"/>
        <family val="2"/>
      </rPr>
      <t>AE=</t>
    </r>
  </si>
  <si>
    <r>
      <rPr>
        <u/>
        <sz val="10"/>
        <rFont val="Arial Narrow"/>
        <family val="2"/>
      </rPr>
      <t>1</t>
    </r>
    <r>
      <rPr>
        <sz val="10"/>
        <rFont val="Symbol"/>
        <family val="1"/>
        <charset val="2"/>
      </rPr>
      <t>g</t>
    </r>
    <r>
      <rPr>
        <vertAlign val="subscript"/>
        <sz val="10"/>
        <rFont val="Arial Narrow"/>
        <family val="2"/>
      </rPr>
      <t>r(</t>
    </r>
    <r>
      <rPr>
        <sz val="10"/>
        <rFont val="Arial Narrow"/>
        <family val="2"/>
      </rPr>
      <t>H^2)</t>
    </r>
    <r>
      <rPr>
        <sz val="10"/>
        <rFont val="Calibri"/>
        <family val="2"/>
      </rPr>
      <t>Δ</t>
    </r>
    <r>
      <rPr>
        <sz val="10"/>
        <rFont val="Arial Narrow"/>
        <family val="2"/>
      </rPr>
      <t>K</t>
    </r>
    <r>
      <rPr>
        <vertAlign val="subscript"/>
        <sz val="10"/>
        <rFont val="Arial Narrow"/>
        <family val="2"/>
      </rPr>
      <t xml:space="preserve">AE  </t>
    </r>
    <r>
      <rPr>
        <sz val="10"/>
        <rFont val="Arial Narrow"/>
        <family val="2"/>
      </rPr>
      <t>=</t>
    </r>
  </si>
  <si>
    <r>
      <rPr>
        <sz val="10"/>
        <rFont val="Calibri"/>
        <family val="2"/>
      </rPr>
      <t>Δ</t>
    </r>
    <r>
      <rPr>
        <sz val="10"/>
        <rFont val="Arial Narrow"/>
        <family val="2"/>
      </rPr>
      <t>E</t>
    </r>
    <r>
      <rPr>
        <vertAlign val="subscript"/>
        <sz val="10"/>
        <rFont val="Arial Narrow"/>
        <family val="2"/>
      </rPr>
      <t>AE</t>
    </r>
    <r>
      <rPr>
        <sz val="10"/>
        <rFont val="Arial Narrow"/>
        <family val="2"/>
      </rPr>
      <t>=</t>
    </r>
  </si>
  <si>
    <t>(empuje activo horizontal de tierras, sin sismo)</t>
  </si>
  <si>
    <t>T/m</t>
  </si>
  <si>
    <r>
      <t>La excentricidad no deberà exceder la maxima excentricidad, e</t>
    </r>
    <r>
      <rPr>
        <vertAlign val="subscript"/>
        <sz val="10"/>
        <rFont val="Arial Narrow"/>
        <family val="2"/>
      </rPr>
      <t>max</t>
    </r>
    <r>
      <rPr>
        <sz val="10"/>
        <rFont val="Arial Narrow"/>
        <family val="2"/>
      </rPr>
      <t>(=B/4)</t>
    </r>
  </si>
  <si>
    <t xml:space="preserve">Fecha </t>
  </si>
  <si>
    <t xml:space="preserve">Proyecto </t>
  </si>
  <si>
    <t>Documento patrón</t>
  </si>
  <si>
    <t xml:space="preserve">Memoria de Cálculo </t>
  </si>
  <si>
    <t>Codigo de documento patrón</t>
  </si>
  <si>
    <t xml:space="preserve">Nombre de anexo </t>
  </si>
  <si>
    <t>Revision</t>
  </si>
  <si>
    <t>df</t>
  </si>
  <si>
    <t xml:space="preserve">Ángulo de fricción entre el muro y relleno AASHTO 3.11.5.3-1 </t>
  </si>
  <si>
    <t>Capacidad ultima del suelo de fundación</t>
  </si>
  <si>
    <t xml:space="preserve">Coeficiente de Aceleración PGA, en la base. Ver 11.6.5.2.1. </t>
  </si>
  <si>
    <t xml:space="preserve">Coeficiente sísmico A/2, Ver 11.6.5.2.2. </t>
  </si>
  <si>
    <t>Coeficiente sísmico vertical, 11.6.5.2.1</t>
  </si>
  <si>
    <r>
      <rPr>
        <sz val="10"/>
        <rFont val="Aptos Narrow"/>
        <family val="2"/>
      </rPr>
      <t>ΔE</t>
    </r>
    <r>
      <rPr>
        <sz val="8"/>
        <rFont val="Aptos Narrow"/>
        <family val="2"/>
      </rPr>
      <t>AE</t>
    </r>
    <r>
      <rPr>
        <sz val="10"/>
        <rFont val="Aptos Narrow"/>
        <family val="2"/>
      </rPr>
      <t>_h</t>
    </r>
    <r>
      <rPr>
        <sz val="10"/>
        <rFont val="Arial Narrow"/>
        <family val="2"/>
      </rPr>
      <t>= Ea*Cos(</t>
    </r>
    <r>
      <rPr>
        <sz val="10"/>
        <rFont val="Symbol"/>
        <family val="1"/>
        <charset val="2"/>
      </rPr>
      <t>d</t>
    </r>
    <r>
      <rPr>
        <sz val="12"/>
        <rFont val="Arial Narrow"/>
        <family val="2"/>
      </rPr>
      <t>) =</t>
    </r>
  </si>
  <si>
    <r>
      <rPr>
        <sz val="10"/>
        <rFont val="Aptos Narrow"/>
        <family val="2"/>
      </rPr>
      <t>ΔE</t>
    </r>
    <r>
      <rPr>
        <sz val="8"/>
        <rFont val="Aptos Narrow"/>
        <family val="2"/>
      </rPr>
      <t>AE</t>
    </r>
    <r>
      <rPr>
        <sz val="10"/>
        <rFont val="Aptos Narrow"/>
        <family val="2"/>
      </rPr>
      <t>_v</t>
    </r>
    <r>
      <rPr>
        <sz val="10"/>
        <rFont val="Arial Narrow"/>
        <family val="2"/>
      </rPr>
      <t>= Ea*Sin(</t>
    </r>
    <r>
      <rPr>
        <sz val="10"/>
        <rFont val="Symbol"/>
        <family val="1"/>
        <charset val="2"/>
      </rPr>
      <t>d</t>
    </r>
    <r>
      <rPr>
        <sz val="10"/>
        <rFont val="Arial Narrow"/>
        <family val="2"/>
      </rPr>
      <t>) =</t>
    </r>
  </si>
  <si>
    <t>q</t>
  </si>
  <si>
    <t xml:space="preserve">Es </t>
  </si>
  <si>
    <t>Es_h</t>
  </si>
  <si>
    <t>Es_v</t>
  </si>
  <si>
    <t xml:space="preserve">Suelo </t>
  </si>
  <si>
    <t xml:space="preserve">Sobrecarga </t>
  </si>
  <si>
    <r>
      <rPr>
        <u/>
        <sz val="10"/>
        <rFont val="Arial Narrow"/>
        <family val="2"/>
      </rPr>
      <t>qH</t>
    </r>
    <r>
      <rPr>
        <sz val="10"/>
        <rFont val="Calibri"/>
        <family val="2"/>
      </rPr>
      <t>Δ</t>
    </r>
    <r>
      <rPr>
        <sz val="10"/>
        <rFont val="Arial Narrow"/>
        <family val="2"/>
      </rPr>
      <t>K</t>
    </r>
    <r>
      <rPr>
        <vertAlign val="subscript"/>
        <sz val="10"/>
        <rFont val="Arial Narrow"/>
        <family val="2"/>
      </rPr>
      <t xml:space="preserve">AE  </t>
    </r>
    <r>
      <rPr>
        <sz val="10"/>
        <rFont val="Arial Narrow"/>
        <family val="2"/>
      </rPr>
      <t>=</t>
    </r>
  </si>
  <si>
    <t>3.3.  PESO PROPIO DEL MURO</t>
  </si>
  <si>
    <t xml:space="preserve">Efecto de empuje de suelo por sismo </t>
  </si>
  <si>
    <t xml:space="preserve">Efecto de empuje de sobrecarga por sismo </t>
  </si>
  <si>
    <t>ΔE_h =</t>
  </si>
  <si>
    <t>ΔE_v =</t>
  </si>
  <si>
    <t>(incremento horizontal de empuje debido al sismo)</t>
  </si>
  <si>
    <t>(incremento vertical de empuje debido al sismo)</t>
  </si>
  <si>
    <t xml:space="preserve">Faltan dos fuerzas </t>
  </si>
  <si>
    <t xml:space="preserve">Actualizar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</si>
</sst>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64" formatCode="_ &quot;S/.&quot;\ * #,##0.00_ ;_ &quot;S/.&quot;\ * \-#,##0.00_ ;_ &quot;S/.&quot;\ * &quot;-&quot;??_ ;_ @_ "/>
    <numFmt numFmtId="165" formatCode="_ * #,##0.00_ ;_ * \-#,##0.00_ ;_ * &quot;-&quot;??_ ;_ @_ "/>
    <numFmt numFmtId="166" formatCode="_(* #,##0.00_);_(* \(#,##0.00\);_(* &quot;-&quot;??_);_(@_)"/>
    <numFmt numFmtId="167" formatCode="0.000"/>
    <numFmt numFmtId="168" formatCode="0.0"/>
    <numFmt numFmtId="169" formatCode="0\º"/>
    <numFmt numFmtId="170" formatCode="0.00\ &quot;KN/M2&quot;"/>
    <numFmt numFmtId="171" formatCode="0.00\º"/>
    <numFmt numFmtId="172" formatCode="0.0000\ &quot;Mpa&quot;"/>
    <numFmt numFmtId="173" formatCode="&quot;&lt;&quot;\ General"/>
    <numFmt numFmtId="174" formatCode="#,##0.00000000000"/>
    <numFmt numFmtId="175" formatCode="00"/>
    <numFmt numFmtId="176" formatCode="_ [$€]* #,##0.00_ ;_ [$€]* \-#,##0.00_ ;_ [$€]* &quot;-&quot;??_ ;_ @_ "/>
    <numFmt numFmtId="177" formatCode="_([$€-2]\ * #,##0.00_);_([$€-2]\ * \(#,##0.00\);_([$€-2]\ * &quot;-&quot;??_)"/>
    <numFmt numFmtId="178" formatCode="0.0000"/>
    <numFmt numFmtId="179" formatCode="#.00"/>
    <numFmt numFmtId="180" formatCode="0.0\º"/>
    <numFmt numFmtId="181" formatCode="\7\8\8\+000.00"/>
  </numFmts>
  <fonts count="77">
    <font>
      <sz val="10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9"/>
      <color indexed="10"/>
      <name val="Geneva"/>
    </font>
    <font>
      <sz val="6.25"/>
      <color indexed="8"/>
      <name val="Arial Narrow"/>
      <family val="2"/>
    </font>
    <font>
      <sz val="10"/>
      <color indexed="8"/>
      <name val="MS Sans Serif"/>
      <family val="2"/>
    </font>
    <font>
      <b/>
      <sz val="10"/>
      <color theme="1"/>
      <name val="Arial Narrow"/>
      <family val="2"/>
    </font>
    <font>
      <sz val="10"/>
      <color theme="0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  <font>
      <vertAlign val="subscript"/>
      <sz val="10"/>
      <name val="Arial Narrow"/>
      <family val="2"/>
    </font>
    <font>
      <sz val="10"/>
      <name val="Symbol"/>
      <family val="1"/>
      <charset val="2"/>
    </font>
    <font>
      <sz val="10"/>
      <color rgb="FF0000FF"/>
      <name val="Arial Narrow"/>
      <family val="2"/>
    </font>
    <font>
      <sz val="10.5"/>
      <name val="Arial Narrow"/>
      <family val="2"/>
    </font>
    <font>
      <vertAlign val="subscript"/>
      <sz val="10.5"/>
      <name val="Arial Narrow"/>
      <family val="2"/>
    </font>
    <font>
      <vertAlign val="superscript"/>
      <sz val="10"/>
      <name val="Arial Narrow"/>
      <family val="2"/>
    </font>
    <font>
      <sz val="12"/>
      <name val="Arial Narrow"/>
      <family val="2"/>
    </font>
    <font>
      <sz val="10"/>
      <color rgb="FFFF0000"/>
      <name val="Arial Narrow"/>
      <family val="2"/>
    </font>
    <font>
      <sz val="8"/>
      <name val="Arial Narrow"/>
      <family val="2"/>
    </font>
    <font>
      <sz val="7"/>
      <color indexed="12"/>
      <name val="Arial Narrow"/>
      <family val="2"/>
    </font>
    <font>
      <u/>
      <sz val="10"/>
      <name val="Arial Narrow"/>
      <family val="2"/>
    </font>
    <font>
      <vertAlign val="subscript"/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"/>
      <color indexed="8"/>
      <name val="Courier"/>
      <family val="3"/>
    </font>
    <font>
      <b/>
      <sz val="10"/>
      <color indexed="10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name val="Arial Narrow"/>
      <family val="2"/>
    </font>
    <font>
      <i/>
      <sz val="10"/>
      <color rgb="FF0000FF"/>
      <name val="Arial Narrow"/>
      <family val="2"/>
    </font>
    <font>
      <b/>
      <sz val="10"/>
      <color rgb="FF0000FF"/>
      <name val="Arial Narrow"/>
      <family val="2"/>
    </font>
    <font>
      <sz val="9"/>
      <name val="Arial Narrow"/>
      <family val="2"/>
    </font>
    <font>
      <b/>
      <sz val="9"/>
      <name val="Arial Narrow"/>
      <family val="2"/>
    </font>
    <font>
      <sz val="10"/>
      <name val="Arial"/>
      <family val="2"/>
    </font>
    <font>
      <sz val="10"/>
      <name val="Calibri"/>
      <family val="2"/>
    </font>
    <font>
      <sz val="8"/>
      <name val="Arial"/>
      <family val="2"/>
    </font>
    <font>
      <sz val="10"/>
      <color rgb="FFFA0000"/>
      <name val="Arial Narrow"/>
      <family val="2"/>
    </font>
    <font>
      <sz val="10"/>
      <color rgb="FF0000FF"/>
      <name val="Calibri"/>
      <family val="2"/>
    </font>
    <font>
      <b/>
      <sz val="10"/>
      <color rgb="FFFF0000"/>
      <name val="Arial Narrow"/>
      <family val="2"/>
    </font>
    <font>
      <b/>
      <sz val="9"/>
      <color rgb="FFFF0000"/>
      <name val="Arial Narrow"/>
      <family val="2"/>
    </font>
    <font>
      <sz val="8.5"/>
      <name val="Arial Narrow"/>
      <family val="2"/>
    </font>
    <font>
      <b/>
      <sz val="9"/>
      <color rgb="FF0000FF"/>
      <name val="Arial Narrow"/>
      <family val="2"/>
    </font>
    <font>
      <b/>
      <sz val="11"/>
      <name val="Arial"/>
      <family val="2"/>
    </font>
    <font>
      <sz val="9"/>
      <name val="Symbol"/>
      <family val="1"/>
      <charset val="2"/>
    </font>
    <font>
      <b/>
      <u/>
      <sz val="10"/>
      <name val="Arial Narrow"/>
      <family val="2"/>
    </font>
    <font>
      <b/>
      <sz val="8"/>
      <name val="Arial Narrow"/>
      <family val="2"/>
    </font>
    <font>
      <b/>
      <sz val="1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vertAlign val="subscript"/>
      <sz val="9"/>
      <name val="Arial Narrow"/>
      <family val="2"/>
    </font>
    <font>
      <vertAlign val="superscript"/>
      <sz val="9"/>
      <name val="Arial Narrow"/>
      <family val="2"/>
    </font>
    <font>
      <sz val="20"/>
      <name val="Arial Narrow"/>
      <family val="2"/>
    </font>
    <font>
      <sz val="6"/>
      <name val="Arial Narrow"/>
      <family val="2"/>
    </font>
    <font>
      <b/>
      <sz val="10"/>
      <name val="Arial"/>
      <family val="2"/>
    </font>
    <font>
      <b/>
      <sz val="10"/>
      <color rgb="FF0033CC"/>
      <name val="Arial"/>
      <family val="2"/>
    </font>
    <font>
      <b/>
      <sz val="12"/>
      <color rgb="FF000000"/>
      <name val="Arial"/>
      <family val="2"/>
    </font>
    <font>
      <sz val="10"/>
      <name val="Aptos Narrow"/>
      <family val="2"/>
    </font>
    <font>
      <sz val="8"/>
      <name val="Aptos Narrow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08">
    <xf numFmtId="0" fontId="0" fillId="0" borderId="0"/>
    <xf numFmtId="9" fontId="6" fillId="0" borderId="0" applyFont="0" applyFill="0" applyBorder="0" applyAlignment="0" applyProtection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4" fillId="0" borderId="0"/>
    <xf numFmtId="0" fontId="6" fillId="0" borderId="0"/>
    <xf numFmtId="0" fontId="4" fillId="0" borderId="0"/>
    <xf numFmtId="0" fontId="9" fillId="0" borderId="0"/>
    <xf numFmtId="173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8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4" fillId="0" borderId="0"/>
    <xf numFmtId="0" fontId="6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11" fillId="0" borderId="0"/>
    <xf numFmtId="0" fontId="4" fillId="0" borderId="0"/>
    <xf numFmtId="0" fontId="11" fillId="0" borderId="0"/>
    <xf numFmtId="0" fontId="4" fillId="0" borderId="0"/>
    <xf numFmtId="0" fontId="11" fillId="0" borderId="0"/>
    <xf numFmtId="0" fontId="4" fillId="0" borderId="0"/>
    <xf numFmtId="0" fontId="11" fillId="0" borderId="0"/>
    <xf numFmtId="0" fontId="4" fillId="0" borderId="0"/>
    <xf numFmtId="0" fontId="11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4" fillId="0" borderId="0"/>
    <xf numFmtId="0" fontId="11" fillId="0" borderId="0"/>
    <xf numFmtId="0" fontId="4" fillId="0" borderId="0"/>
    <xf numFmtId="0" fontId="11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11" fillId="0" borderId="0"/>
    <xf numFmtId="0" fontId="4" fillId="0" borderId="0"/>
    <xf numFmtId="0" fontId="11" fillId="0" borderId="0"/>
    <xf numFmtId="0" fontId="6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6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6" fillId="0" borderId="0"/>
    <xf numFmtId="0" fontId="4" fillId="0" borderId="0"/>
    <xf numFmtId="0" fontId="11" fillId="0" borderId="0"/>
    <xf numFmtId="0" fontId="4" fillId="0" borderId="0"/>
    <xf numFmtId="0" fontId="11" fillId="0" borderId="0"/>
    <xf numFmtId="0" fontId="4" fillId="0" borderId="0"/>
    <xf numFmtId="0" fontId="11" fillId="0" borderId="0"/>
    <xf numFmtId="0" fontId="6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6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11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3" fillId="0" borderId="0"/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/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/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/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/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/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/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/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/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/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/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/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/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/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/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/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/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/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/>
    <xf numFmtId="0" fontId="28" fillId="19" borderId="0" applyNumberFormat="0" applyBorder="0" applyAlignment="0" applyProtection="0">
      <alignment vertical="center"/>
    </xf>
    <xf numFmtId="0" fontId="28" fillId="19" borderId="0" applyNumberFormat="0" applyBorder="0" applyAlignment="0" applyProtection="0"/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/>
    <xf numFmtId="0" fontId="30" fillId="20" borderId="15" applyNumberFormat="0" applyAlignment="0" applyProtection="0">
      <alignment vertical="center"/>
    </xf>
    <xf numFmtId="0" fontId="30" fillId="20" borderId="15" applyNumberFormat="0" applyAlignment="0" applyProtection="0"/>
    <xf numFmtId="0" fontId="9" fillId="0" borderId="0">
      <alignment vertical="center"/>
    </xf>
    <xf numFmtId="0" fontId="31" fillId="21" borderId="16" applyNumberFormat="0" applyAlignment="0" applyProtection="0">
      <alignment vertical="center"/>
    </xf>
    <xf numFmtId="0" fontId="31" fillId="21" borderId="16" applyNumberFormat="0" applyAlignment="0" applyProtection="0"/>
    <xf numFmtId="173" fontId="10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74" fontId="8" fillId="0" borderId="0" applyFont="0" applyFill="0" applyBorder="0" applyAlignment="0" applyProtection="0">
      <alignment vertical="center"/>
    </xf>
    <xf numFmtId="174" fontId="8" fillId="0" borderId="0" applyFont="0" applyFill="0" applyBorder="0" applyAlignment="0" applyProtection="0">
      <alignment vertical="center"/>
    </xf>
    <xf numFmtId="174" fontId="8" fillId="0" borderId="0" applyFont="0" applyFill="0" applyBorder="0" applyAlignment="0" applyProtection="0">
      <alignment vertical="center"/>
    </xf>
    <xf numFmtId="174" fontId="8" fillId="0" borderId="0" applyFont="0" applyFill="0" applyBorder="0" applyAlignment="0" applyProtection="0">
      <alignment vertical="center"/>
    </xf>
    <xf numFmtId="174" fontId="8" fillId="0" borderId="0" applyFont="0" applyFill="0" applyBorder="0" applyAlignment="0" applyProtection="0">
      <alignment vertical="center"/>
    </xf>
    <xf numFmtId="174" fontId="8" fillId="0" borderId="0" applyFont="0" applyFill="0" applyBorder="0" applyAlignment="0" applyProtection="0">
      <alignment vertical="center"/>
    </xf>
    <xf numFmtId="174" fontId="8" fillId="0" borderId="0" applyFont="0" applyFill="0" applyBorder="0" applyAlignment="0" applyProtection="0">
      <alignment vertical="center"/>
    </xf>
    <xf numFmtId="174" fontId="8" fillId="0" borderId="0" applyFont="0" applyFill="0" applyBorder="0" applyAlignment="0" applyProtection="0">
      <alignment vertical="center"/>
    </xf>
    <xf numFmtId="174" fontId="8" fillId="0" borderId="0" applyFont="0" applyFill="0" applyBorder="0" applyAlignment="0" applyProtection="0">
      <alignment vertical="center"/>
    </xf>
    <xf numFmtId="174" fontId="8" fillId="0" borderId="0" applyFont="0" applyFill="0" applyBorder="0" applyAlignment="0" applyProtection="0">
      <alignment vertical="center"/>
    </xf>
    <xf numFmtId="174" fontId="8" fillId="0" borderId="0" applyFont="0" applyFill="0" applyBorder="0" applyAlignment="0" applyProtection="0">
      <alignment vertical="center"/>
    </xf>
    <xf numFmtId="174" fontId="8" fillId="0" borderId="0" applyFont="0" applyFill="0" applyBorder="0" applyAlignment="0" applyProtection="0">
      <alignment vertical="center"/>
    </xf>
    <xf numFmtId="174" fontId="8" fillId="0" borderId="0" applyFont="0" applyFill="0" applyBorder="0" applyAlignment="0" applyProtection="0">
      <alignment vertical="center"/>
    </xf>
    <xf numFmtId="174" fontId="8" fillId="0" borderId="0" applyFont="0" applyFill="0" applyBorder="0" applyAlignment="0" applyProtection="0">
      <alignment vertical="center"/>
    </xf>
    <xf numFmtId="174" fontId="8" fillId="0" borderId="0" applyFont="0" applyFill="0" applyBorder="0" applyAlignment="0" applyProtection="0">
      <alignment vertical="center"/>
    </xf>
    <xf numFmtId="174" fontId="8" fillId="0" borderId="0" applyFont="0" applyFill="0" applyBorder="0" applyAlignment="0" applyProtection="0">
      <alignment vertical="center"/>
    </xf>
    <xf numFmtId="174" fontId="8" fillId="0" borderId="0" applyFont="0" applyFill="0" applyBorder="0" applyAlignment="0" applyProtection="0">
      <alignment vertical="center"/>
    </xf>
    <xf numFmtId="174" fontId="8" fillId="0" borderId="0" applyFont="0" applyFill="0" applyBorder="0" applyAlignment="0" applyProtection="0">
      <alignment vertical="center"/>
    </xf>
    <xf numFmtId="174" fontId="8" fillId="0" borderId="0" applyFont="0" applyFill="0" applyBorder="0" applyAlignment="0" applyProtection="0">
      <alignment vertical="center"/>
    </xf>
    <xf numFmtId="174" fontId="8" fillId="0" borderId="0" applyFont="0" applyFill="0" applyBorder="0" applyAlignment="0" applyProtection="0">
      <alignment vertical="center"/>
    </xf>
    <xf numFmtId="174" fontId="8" fillId="0" borderId="0" applyFont="0" applyFill="0" applyBorder="0" applyAlignment="0" applyProtection="0">
      <alignment vertical="center"/>
    </xf>
    <xf numFmtId="174" fontId="8" fillId="0" borderId="0" applyFont="0" applyFill="0" applyBorder="0" applyAlignment="0" applyProtection="0">
      <alignment vertical="center"/>
    </xf>
    <xf numFmtId="174" fontId="8" fillId="0" borderId="0" applyFont="0" applyFill="0" applyBorder="0" applyAlignment="0" applyProtection="0">
      <alignment vertical="center"/>
    </xf>
    <xf numFmtId="174" fontId="8" fillId="0" borderId="0" applyFont="0" applyFill="0" applyBorder="0" applyAlignment="0" applyProtection="0">
      <alignment vertical="center"/>
    </xf>
    <xf numFmtId="174" fontId="8" fillId="0" borderId="0" applyFont="0" applyFill="0" applyBorder="0" applyAlignment="0" applyProtection="0">
      <alignment vertical="center"/>
    </xf>
    <xf numFmtId="174" fontId="8" fillId="0" borderId="0" applyFont="0" applyFill="0" applyBorder="0" applyAlignment="0" applyProtection="0">
      <alignment vertical="center"/>
    </xf>
    <xf numFmtId="174" fontId="8" fillId="0" borderId="0" applyFont="0" applyFill="0" applyBorder="0" applyAlignment="0" applyProtection="0">
      <alignment vertical="center"/>
    </xf>
    <xf numFmtId="174" fontId="8" fillId="0" borderId="0" applyFont="0" applyFill="0" applyBorder="0" applyAlignment="0" applyProtection="0">
      <alignment vertical="center"/>
    </xf>
    <xf numFmtId="174" fontId="8" fillId="0" borderId="0" applyFont="0" applyFill="0" applyBorder="0" applyAlignment="0" applyProtection="0">
      <alignment vertical="center"/>
    </xf>
    <xf numFmtId="174" fontId="8" fillId="0" borderId="0" applyFont="0" applyFill="0" applyBorder="0" applyAlignment="0" applyProtection="0">
      <alignment vertical="center"/>
    </xf>
    <xf numFmtId="174" fontId="8" fillId="0" borderId="0" applyFont="0" applyFill="0" applyBorder="0" applyAlignment="0" applyProtection="0">
      <alignment vertical="center"/>
    </xf>
    <xf numFmtId="174" fontId="8" fillId="0" borderId="0" applyFont="0" applyFill="0" applyBorder="0" applyAlignment="0" applyProtection="0">
      <alignment vertical="center"/>
    </xf>
    <xf numFmtId="174" fontId="8" fillId="0" borderId="0" applyFont="0" applyFill="0" applyBorder="0" applyAlignment="0" applyProtection="0">
      <alignment vertical="center"/>
    </xf>
    <xf numFmtId="174" fontId="8" fillId="0" borderId="0" applyFont="0" applyFill="0" applyBorder="0" applyAlignment="0" applyProtection="0">
      <alignment vertical="center"/>
    </xf>
    <xf numFmtId="174" fontId="8" fillId="0" borderId="0" applyFont="0" applyFill="0" applyBorder="0" applyAlignment="0" applyProtection="0">
      <alignment vertical="center"/>
    </xf>
    <xf numFmtId="174" fontId="8" fillId="0" borderId="0" applyFont="0" applyFill="0" applyBorder="0" applyAlignment="0" applyProtection="0">
      <alignment vertical="center"/>
    </xf>
    <xf numFmtId="174" fontId="8" fillId="0" borderId="0" applyFont="0" applyFill="0" applyBorder="0" applyAlignment="0" applyProtection="0">
      <alignment vertical="center"/>
    </xf>
    <xf numFmtId="174" fontId="8" fillId="0" borderId="0" applyFont="0" applyFill="0" applyBorder="0" applyAlignment="0" applyProtection="0">
      <alignment vertical="center"/>
    </xf>
    <xf numFmtId="174" fontId="8" fillId="0" borderId="0" applyFont="0" applyFill="0" applyBorder="0" applyAlignment="0" applyProtection="0">
      <alignment vertical="center"/>
    </xf>
    <xf numFmtId="174" fontId="8" fillId="0" borderId="0" applyFont="0" applyFill="0" applyBorder="0" applyAlignment="0" applyProtection="0">
      <alignment vertical="center"/>
    </xf>
    <xf numFmtId="174" fontId="8" fillId="0" borderId="0" applyFont="0" applyFill="0" applyBorder="0" applyAlignment="0" applyProtection="0">
      <alignment vertical="center"/>
    </xf>
    <xf numFmtId="174" fontId="8" fillId="0" borderId="0" applyFont="0" applyFill="0" applyBorder="0" applyAlignment="0" applyProtection="0">
      <alignment vertical="center"/>
    </xf>
    <xf numFmtId="174" fontId="8" fillId="0" borderId="0" applyFont="0" applyFill="0" applyBorder="0" applyAlignment="0" applyProtection="0">
      <alignment vertical="center"/>
    </xf>
    <xf numFmtId="174" fontId="8" fillId="0" borderId="0" applyFont="0" applyFill="0" applyBorder="0" applyAlignment="0" applyProtection="0">
      <alignment vertical="center"/>
    </xf>
    <xf numFmtId="175" fontId="8" fillId="0" borderId="0" applyFont="0" applyFill="0" applyBorder="0" applyAlignment="0" applyProtection="0">
      <alignment vertical="center"/>
    </xf>
    <xf numFmtId="175" fontId="8" fillId="0" borderId="0" applyFont="0" applyFill="0" applyBorder="0" applyAlignment="0" applyProtection="0">
      <alignment vertical="center"/>
    </xf>
    <xf numFmtId="166" fontId="8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/>
    <xf numFmtId="164" fontId="8" fillId="0" borderId="0" applyFont="0" applyFill="0" applyBorder="0" applyAlignment="0" applyProtection="0">
      <alignment vertical="center"/>
    </xf>
    <xf numFmtId="0" fontId="32" fillId="0" borderId="0">
      <alignment vertical="center"/>
      <protection locked="0"/>
    </xf>
    <xf numFmtId="0" fontId="33" fillId="0" borderId="0" applyNumberForma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/>
    <xf numFmtId="179" fontId="32" fillId="0" borderId="0">
      <alignment vertical="center"/>
      <protection locked="0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36" fillId="0" borderId="17" applyNumberFormat="0" applyFill="0" applyAlignment="0" applyProtection="0"/>
    <xf numFmtId="0" fontId="37" fillId="0" borderId="18" applyNumberFormat="0" applyFill="0" applyAlignment="0" applyProtection="0">
      <alignment vertical="center"/>
    </xf>
    <xf numFmtId="0" fontId="37" fillId="0" borderId="18" applyNumberFormat="0" applyFill="0" applyAlignment="0" applyProtection="0"/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/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/>
    <xf numFmtId="0" fontId="39" fillId="0" borderId="0">
      <alignment vertical="center"/>
      <protection locked="0"/>
    </xf>
    <xf numFmtId="0" fontId="39" fillId="0" borderId="0">
      <alignment vertical="center"/>
      <protection locked="0"/>
    </xf>
    <xf numFmtId="0" fontId="40" fillId="7" borderId="15" applyNumberFormat="0" applyAlignment="0" applyProtection="0">
      <alignment vertical="center"/>
    </xf>
    <xf numFmtId="0" fontId="40" fillId="7" borderId="15" applyNumberFormat="0" applyAlignment="0" applyProtection="0"/>
    <xf numFmtId="0" fontId="41" fillId="0" borderId="20" applyNumberFormat="0" applyFill="0" applyAlignment="0" applyProtection="0">
      <alignment vertical="center"/>
    </xf>
    <xf numFmtId="0" fontId="41" fillId="0" borderId="20" applyNumberFormat="0" applyFill="0" applyAlignment="0" applyProtection="0"/>
    <xf numFmtId="166" fontId="8" fillId="0" borderId="0" applyFont="0" applyFill="0" applyBorder="0" applyAlignment="0" applyProtection="0">
      <alignment vertical="center"/>
    </xf>
    <xf numFmtId="166" fontId="8" fillId="0" borderId="0" applyFont="0" applyFill="0" applyBorder="0" applyAlignment="0" applyProtection="0">
      <alignment vertical="center"/>
    </xf>
    <xf numFmtId="166" fontId="8" fillId="0" borderId="0" applyFont="0" applyFill="0" applyBorder="0" applyAlignment="0" applyProtection="0">
      <alignment vertical="center"/>
    </xf>
    <xf numFmtId="166" fontId="8" fillId="0" borderId="0" applyFont="0" applyFill="0" applyBorder="0" applyAlignment="0" applyProtection="0">
      <alignment vertical="center"/>
    </xf>
    <xf numFmtId="166" fontId="8" fillId="0" borderId="0" applyFont="0" applyFill="0" applyBorder="0" applyAlignment="0" applyProtection="0">
      <alignment vertical="center"/>
    </xf>
    <xf numFmtId="166" fontId="8" fillId="0" borderId="0" applyFont="0" applyFill="0" applyBorder="0" applyAlignment="0" applyProtection="0">
      <alignment vertical="center"/>
    </xf>
    <xf numFmtId="166" fontId="8" fillId="0" borderId="0" applyFont="0" applyFill="0" applyBorder="0" applyAlignment="0" applyProtection="0">
      <alignment vertical="center"/>
    </xf>
    <xf numFmtId="166" fontId="8" fillId="0" borderId="0" applyFont="0" applyFill="0" applyBorder="0" applyAlignment="0" applyProtection="0">
      <alignment vertical="center"/>
    </xf>
    <xf numFmtId="166" fontId="8" fillId="0" borderId="0" applyFont="0" applyFill="0" applyBorder="0" applyAlignment="0" applyProtection="0">
      <alignment vertical="center"/>
    </xf>
    <xf numFmtId="166" fontId="8" fillId="0" borderId="0" applyFont="0" applyFill="0" applyBorder="0" applyAlignment="0" applyProtection="0">
      <alignment vertical="center"/>
    </xf>
    <xf numFmtId="166" fontId="8" fillId="0" borderId="0" applyFont="0" applyFill="0" applyBorder="0" applyAlignment="0" applyProtection="0">
      <alignment vertical="center"/>
    </xf>
    <xf numFmtId="166" fontId="8" fillId="0" borderId="0" applyFont="0" applyFill="0" applyBorder="0" applyAlignment="0" applyProtection="0">
      <alignment vertical="center"/>
    </xf>
    <xf numFmtId="166" fontId="8" fillId="0" borderId="0" applyFont="0" applyFill="0" applyBorder="0" applyAlignment="0" applyProtection="0">
      <alignment vertical="center"/>
    </xf>
    <xf numFmtId="166" fontId="8" fillId="0" borderId="0" applyFont="0" applyFill="0" applyBorder="0" applyAlignment="0" applyProtection="0">
      <alignment vertical="center"/>
    </xf>
    <xf numFmtId="166" fontId="8" fillId="0" borderId="0" applyFont="0" applyFill="0" applyBorder="0" applyAlignment="0" applyProtection="0">
      <alignment vertical="center"/>
    </xf>
    <xf numFmtId="166" fontId="8" fillId="0" borderId="0" applyFont="0" applyFill="0" applyBorder="0" applyAlignment="0" applyProtection="0">
      <alignment vertical="center"/>
    </xf>
    <xf numFmtId="166" fontId="8" fillId="0" borderId="0" applyFont="0" applyFill="0" applyBorder="0" applyAlignment="0" applyProtection="0">
      <alignment vertical="center"/>
    </xf>
    <xf numFmtId="166" fontId="8" fillId="0" borderId="0" applyFont="0" applyFill="0" applyBorder="0" applyAlignment="0" applyProtection="0">
      <alignment vertical="center"/>
    </xf>
    <xf numFmtId="166" fontId="8" fillId="0" borderId="0" applyFont="0" applyFill="0" applyBorder="0" applyAlignment="0" applyProtection="0">
      <alignment vertical="center"/>
    </xf>
    <xf numFmtId="165" fontId="6" fillId="0" borderId="0" applyFont="0" applyFill="0" applyBorder="0" applyAlignment="0" applyProtection="0"/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>
      <alignment vertical="center"/>
    </xf>
    <xf numFmtId="0" fontId="4" fillId="0" borderId="0"/>
    <xf numFmtId="0" fontId="8" fillId="0" borderId="0">
      <alignment vertical="center"/>
    </xf>
    <xf numFmtId="0" fontId="4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23" borderId="21" applyNumberFormat="0" applyFont="0" applyAlignment="0" applyProtection="0">
      <alignment vertical="center"/>
    </xf>
    <xf numFmtId="0" fontId="8" fillId="23" borderId="21" applyNumberFormat="0" applyFont="0" applyAlignment="0" applyProtection="0"/>
    <xf numFmtId="0" fontId="43" fillId="20" borderId="22" applyNumberFormat="0" applyAlignment="0" applyProtection="0">
      <alignment vertical="center"/>
    </xf>
    <xf numFmtId="0" fontId="43" fillId="20" borderId="22" applyNumberFormat="0" applyAlignment="0" applyProtection="0"/>
    <xf numFmtId="9" fontId="6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/>
    <xf numFmtId="0" fontId="32" fillId="0" borderId="23">
      <alignment vertical="center"/>
      <protection locked="0"/>
    </xf>
    <xf numFmtId="0" fontId="45" fillId="0" borderId="24" applyNumberFormat="0" applyFill="0" applyAlignment="0" applyProtection="0">
      <alignment vertical="center"/>
    </xf>
    <xf numFmtId="0" fontId="45" fillId="0" borderId="24" applyNumberFormat="0" applyFill="0" applyAlignment="0" applyProtection="0"/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/>
    <xf numFmtId="0" fontId="35" fillId="4" borderId="0" applyNumberFormat="0" applyBorder="0" applyAlignment="0" applyProtection="0">
      <alignment vertical="center"/>
    </xf>
    <xf numFmtId="0" fontId="2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/>
    <xf numFmtId="0" fontId="2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/>
    <xf numFmtId="0" fontId="2" fillId="0" borderId="0"/>
    <xf numFmtId="0" fontId="8" fillId="0" borderId="0">
      <alignment vertical="center"/>
    </xf>
    <xf numFmtId="0" fontId="2" fillId="0" borderId="0"/>
    <xf numFmtId="0" fontId="2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/>
    <xf numFmtId="0" fontId="2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/>
    <xf numFmtId="0" fontId="2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/>
    <xf numFmtId="9" fontId="6" fillId="0" borderId="0" applyFont="0" applyFill="0" applyBorder="0" applyAlignment="0" applyProtection="0">
      <alignment vertical="center"/>
    </xf>
    <xf numFmtId="0" fontId="1" fillId="0" borderId="0"/>
    <xf numFmtId="0" fontId="52" fillId="0" borderId="0"/>
  </cellStyleXfs>
  <cellXfs count="251">
    <xf numFmtId="0" fontId="0" fillId="0" borderId="0" xfId="0"/>
    <xf numFmtId="0" fontId="14" fillId="0" borderId="0" xfId="0" applyFont="1"/>
    <xf numFmtId="167" fontId="14" fillId="0" borderId="0" xfId="0" applyNumberFormat="1" applyFont="1"/>
    <xf numFmtId="2" fontId="14" fillId="0" borderId="0" xfId="0" applyNumberFormat="1" applyFont="1"/>
    <xf numFmtId="0" fontId="14" fillId="0" borderId="1" xfId="0" applyFont="1" applyBorder="1" applyAlignment="1">
      <alignment horizontal="centerContinuous"/>
    </xf>
    <xf numFmtId="0" fontId="14" fillId="0" borderId="1" xfId="0" applyFont="1" applyBorder="1" applyAlignment="1">
      <alignment horizontal="right"/>
    </xf>
    <xf numFmtId="0" fontId="14" fillId="0" borderId="0" xfId="0" applyFont="1" applyAlignment="1">
      <alignment horizontal="left"/>
    </xf>
    <xf numFmtId="2" fontId="14" fillId="0" borderId="0" xfId="0" applyNumberFormat="1" applyFont="1" applyAlignment="1">
      <alignment horizontal="right"/>
    </xf>
    <xf numFmtId="0" fontId="14" fillId="0" borderId="1" xfId="0" applyFont="1" applyBorder="1"/>
    <xf numFmtId="2" fontId="14" fillId="0" borderId="1" xfId="0" applyNumberFormat="1" applyFont="1" applyBorder="1"/>
    <xf numFmtId="2" fontId="14" fillId="0" borderId="1" xfId="0" applyNumberFormat="1" applyFont="1" applyBorder="1" applyAlignment="1">
      <alignment horizontal="center"/>
    </xf>
    <xf numFmtId="0" fontId="14" fillId="0" borderId="2" xfId="0" applyFont="1" applyBorder="1"/>
    <xf numFmtId="0" fontId="14" fillId="0" borderId="1" xfId="0" applyFont="1" applyBorder="1" applyAlignment="1">
      <alignment horizontal="center"/>
    </xf>
    <xf numFmtId="0" fontId="14" fillId="0" borderId="0" xfId="0" applyFont="1" applyAlignment="1">
      <alignment horizontal="right"/>
    </xf>
    <xf numFmtId="2" fontId="14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Continuous"/>
    </xf>
    <xf numFmtId="9" fontId="14" fillId="0" borderId="0" xfId="1" applyFont="1" applyBorder="1" applyAlignment="1">
      <alignment horizontal="center"/>
    </xf>
    <xf numFmtId="0" fontId="21" fillId="0" borderId="0" xfId="0" applyFont="1"/>
    <xf numFmtId="0" fontId="6" fillId="0" borderId="7" xfId="45" applyBorder="1" applyAlignment="1">
      <alignment horizontal="center" vertical="center"/>
    </xf>
    <xf numFmtId="0" fontId="6" fillId="0" borderId="4" xfId="45" applyBorder="1" applyAlignment="1">
      <alignment horizontal="center" vertical="center"/>
    </xf>
    <xf numFmtId="0" fontId="6" fillId="0" borderId="8" xfId="45" applyBorder="1" applyAlignment="1">
      <alignment horizontal="center" vertical="center"/>
    </xf>
    <xf numFmtId="0" fontId="6" fillId="0" borderId="9" xfId="45" applyBorder="1" applyAlignment="1">
      <alignment horizontal="center" vertical="center"/>
    </xf>
    <xf numFmtId="0" fontId="6" fillId="0" borderId="0" xfId="45" applyAlignment="1">
      <alignment horizontal="center" vertical="center"/>
    </xf>
    <xf numFmtId="0" fontId="6" fillId="0" borderId="10" xfId="45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vertical="center"/>
    </xf>
    <xf numFmtId="0" fontId="15" fillId="0" borderId="0" xfId="807" applyFont="1"/>
    <xf numFmtId="0" fontId="14" fillId="0" borderId="0" xfId="807" applyFont="1"/>
    <xf numFmtId="0" fontId="14" fillId="0" borderId="0" xfId="807" applyFont="1" applyAlignment="1">
      <alignment horizontal="center"/>
    </xf>
    <xf numFmtId="0" fontId="15" fillId="0" borderId="1" xfId="807" applyFont="1" applyBorder="1" applyAlignment="1">
      <alignment horizontal="center"/>
    </xf>
    <xf numFmtId="0" fontId="15" fillId="0" borderId="1" xfId="807" applyFont="1" applyBorder="1"/>
    <xf numFmtId="0" fontId="6" fillId="0" borderId="1" xfId="807" applyFont="1" applyBorder="1"/>
    <xf numFmtId="2" fontId="14" fillId="0" borderId="0" xfId="807" applyNumberFormat="1" applyFont="1" applyAlignment="1">
      <alignment horizontal="center"/>
    </xf>
    <xf numFmtId="12" fontId="14" fillId="0" borderId="0" xfId="807" applyNumberFormat="1" applyFont="1" applyAlignment="1">
      <alignment horizontal="center"/>
    </xf>
    <xf numFmtId="167" fontId="14" fillId="0" borderId="0" xfId="807" applyNumberFormat="1" applyFont="1" applyAlignment="1">
      <alignment horizontal="center"/>
    </xf>
    <xf numFmtId="2" fontId="14" fillId="0" borderId="0" xfId="807" applyNumberFormat="1" applyFont="1"/>
    <xf numFmtId="0" fontId="14" fillId="0" borderId="13" xfId="807" applyFont="1" applyBorder="1"/>
    <xf numFmtId="0" fontId="14" fillId="0" borderId="1" xfId="807" applyFont="1" applyBorder="1"/>
    <xf numFmtId="12" fontId="14" fillId="0" borderId="10" xfId="807" applyNumberFormat="1" applyFont="1" applyBorder="1"/>
    <xf numFmtId="0" fontId="14" fillId="0" borderId="31" xfId="807" applyFont="1" applyBorder="1"/>
    <xf numFmtId="0" fontId="14" fillId="0" borderId="5" xfId="807" applyFont="1" applyBorder="1"/>
    <xf numFmtId="0" fontId="14" fillId="0" borderId="26" xfId="807" applyFont="1" applyBorder="1"/>
    <xf numFmtId="167" fontId="25" fillId="0" borderId="0" xfId="807" applyNumberFormat="1" applyFont="1" applyAlignment="1">
      <alignment horizontal="center"/>
    </xf>
    <xf numFmtId="167" fontId="14" fillId="0" borderId="27" xfId="807" applyNumberFormat="1" applyFont="1" applyBorder="1"/>
    <xf numFmtId="12" fontId="14" fillId="0" borderId="10" xfId="807" applyNumberFormat="1" applyFont="1" applyBorder="1" applyAlignment="1">
      <alignment horizontal="center"/>
    </xf>
    <xf numFmtId="0" fontId="14" fillId="0" borderId="28" xfId="807" applyFont="1" applyBorder="1"/>
    <xf numFmtId="2" fontId="14" fillId="0" borderId="28" xfId="807" applyNumberFormat="1" applyFont="1" applyBorder="1"/>
    <xf numFmtId="167" fontId="14" fillId="0" borderId="29" xfId="807" applyNumberFormat="1" applyFont="1" applyBorder="1"/>
    <xf numFmtId="12" fontId="14" fillId="0" borderId="13" xfId="807" applyNumberFormat="1" applyFont="1" applyBorder="1" applyAlignment="1">
      <alignment horizontal="center"/>
    </xf>
    <xf numFmtId="2" fontId="14" fillId="0" borderId="1" xfId="807" applyNumberFormat="1" applyFont="1" applyBorder="1"/>
    <xf numFmtId="2" fontId="14" fillId="0" borderId="30" xfId="807" applyNumberFormat="1" applyFont="1" applyBorder="1"/>
    <xf numFmtId="0" fontId="14" fillId="0" borderId="32" xfId="807" applyFont="1" applyBorder="1"/>
    <xf numFmtId="0" fontId="14" fillId="0" borderId="33" xfId="807" applyFont="1" applyBorder="1"/>
    <xf numFmtId="0" fontId="14" fillId="0" borderId="14" xfId="807" applyFont="1" applyBorder="1" applyAlignment="1">
      <alignment horizontal="center"/>
    </xf>
    <xf numFmtId="0" fontId="15" fillId="0" borderId="14" xfId="807" applyFont="1" applyBorder="1"/>
    <xf numFmtId="2" fontId="14" fillId="0" borderId="9" xfId="807" applyNumberFormat="1" applyFont="1" applyBorder="1" applyAlignment="1">
      <alignment horizontal="center"/>
    </xf>
    <xf numFmtId="0" fontId="15" fillId="0" borderId="0" xfId="807" applyFont="1" applyAlignment="1">
      <alignment horizontal="center"/>
    </xf>
    <xf numFmtId="11" fontId="14" fillId="0" borderId="0" xfId="807" applyNumberFormat="1" applyFont="1" applyAlignment="1">
      <alignment horizontal="center" wrapText="1"/>
    </xf>
    <xf numFmtId="11" fontId="15" fillId="24" borderId="3" xfId="807" applyNumberFormat="1" applyFont="1" applyFill="1" applyBorder="1" applyAlignment="1">
      <alignment horizontal="center" vertical="center" wrapText="1"/>
    </xf>
    <xf numFmtId="11" fontId="15" fillId="24" borderId="3" xfId="807" applyNumberFormat="1" applyFont="1" applyFill="1" applyBorder="1" applyAlignment="1">
      <alignment horizontal="center" wrapText="1"/>
    </xf>
    <xf numFmtId="181" fontId="53" fillId="0" borderId="3" xfId="807" applyNumberFormat="1" applyFont="1" applyBorder="1" applyAlignment="1">
      <alignment horizontal="center"/>
    </xf>
    <xf numFmtId="165" fontId="14" fillId="0" borderId="3" xfId="807" applyNumberFormat="1" applyFont="1" applyBorder="1" applyAlignment="1">
      <alignment horizontal="left"/>
    </xf>
    <xf numFmtId="165" fontId="14" fillId="0" borderId="3" xfId="45" applyNumberFormat="1" applyFont="1" applyBorder="1" applyAlignment="1">
      <alignment horizontal="left"/>
    </xf>
    <xf numFmtId="0" fontId="23" fillId="0" borderId="0" xfId="807" applyFont="1" applyAlignment="1">
      <alignment horizontal="center"/>
    </xf>
    <xf numFmtId="165" fontId="14" fillId="0" borderId="0" xfId="807" applyNumberFormat="1" applyFont="1"/>
    <xf numFmtId="0" fontId="15" fillId="24" borderId="3" xfId="807" applyFont="1" applyFill="1" applyBorder="1" applyAlignment="1">
      <alignment horizontal="center"/>
    </xf>
    <xf numFmtId="2" fontId="15" fillId="0" borderId="3" xfId="807" applyNumberFormat="1" applyFont="1" applyBorder="1" applyAlignment="1">
      <alignment horizontal="center"/>
    </xf>
    <xf numFmtId="0" fontId="14" fillId="0" borderId="25" xfId="807" applyFont="1" applyBorder="1"/>
    <xf numFmtId="0" fontId="14" fillId="0" borderId="2" xfId="807" applyFont="1" applyBorder="1"/>
    <xf numFmtId="0" fontId="15" fillId="0" borderId="2" xfId="807" applyFont="1" applyBorder="1"/>
    <xf numFmtId="0" fontId="14" fillId="0" borderId="27" xfId="807" applyFont="1" applyBorder="1" applyAlignment="1">
      <alignment horizontal="center"/>
    </xf>
    <xf numFmtId="0" fontId="14" fillId="0" borderId="29" xfId="807" applyFont="1" applyBorder="1" applyAlignment="1">
      <alignment horizontal="center"/>
    </xf>
    <xf numFmtId="0" fontId="14" fillId="0" borderId="1" xfId="807" applyFont="1" applyBorder="1" applyAlignment="1">
      <alignment horizontal="center"/>
    </xf>
    <xf numFmtId="0" fontId="14" fillId="0" borderId="30" xfId="807" applyFont="1" applyBorder="1"/>
    <xf numFmtId="0" fontId="51" fillId="0" borderId="1" xfId="807" applyFont="1" applyBorder="1" applyAlignment="1">
      <alignment horizontal="center"/>
    </xf>
    <xf numFmtId="167" fontId="24" fillId="0" borderId="33" xfId="807" applyNumberFormat="1" applyFont="1" applyBorder="1"/>
    <xf numFmtId="167" fontId="54" fillId="0" borderId="9" xfId="45" applyNumberFormat="1" applyFont="1" applyBorder="1" applyAlignment="1">
      <alignment horizontal="center" vertical="center"/>
    </xf>
    <xf numFmtId="12" fontId="54" fillId="0" borderId="0" xfId="45" applyNumberFormat="1" applyFont="1" applyAlignment="1">
      <alignment horizontal="center" vertical="center"/>
    </xf>
    <xf numFmtId="0" fontId="54" fillId="0" borderId="0" xfId="45" applyFont="1" applyAlignment="1">
      <alignment horizontal="center" vertical="center"/>
    </xf>
    <xf numFmtId="2" fontId="54" fillId="0" borderId="0" xfId="45" applyNumberFormat="1" applyFont="1" applyAlignment="1">
      <alignment horizontal="center" vertical="center"/>
    </xf>
    <xf numFmtId="0" fontId="54" fillId="0" borderId="10" xfId="45" applyFont="1" applyBorder="1" applyAlignment="1">
      <alignment horizontal="center" vertical="center"/>
    </xf>
    <xf numFmtId="178" fontId="24" fillId="0" borderId="0" xfId="807" applyNumberFormat="1" applyFont="1"/>
    <xf numFmtId="0" fontId="24" fillId="0" borderId="34" xfId="807" applyFont="1" applyBorder="1"/>
    <xf numFmtId="167" fontId="54" fillId="0" borderId="11" xfId="45" applyNumberFormat="1" applyFont="1" applyBorder="1" applyAlignment="1">
      <alignment horizontal="center" vertical="center"/>
    </xf>
    <xf numFmtId="12" fontId="54" fillId="0" borderId="6" xfId="45" applyNumberFormat="1" applyFont="1" applyBorder="1" applyAlignment="1">
      <alignment horizontal="center" vertical="center"/>
    </xf>
    <xf numFmtId="0" fontId="54" fillId="0" borderId="6" xfId="45" applyFont="1" applyBorder="1" applyAlignment="1">
      <alignment horizontal="center" vertical="center"/>
    </xf>
    <xf numFmtId="2" fontId="54" fillId="0" borderId="6" xfId="45" applyNumberFormat="1" applyFont="1" applyBorder="1" applyAlignment="1">
      <alignment horizontal="center" vertical="center"/>
    </xf>
    <xf numFmtId="0" fontId="54" fillId="0" borderId="12" xfId="45" applyFont="1" applyBorder="1" applyAlignment="1">
      <alignment horizontal="center" vertical="center"/>
    </xf>
    <xf numFmtId="0" fontId="0" fillId="0" borderId="0" xfId="807" applyFont="1"/>
    <xf numFmtId="166" fontId="14" fillId="0" borderId="35" xfId="45" applyNumberFormat="1" applyFont="1" applyBorder="1" applyAlignment="1">
      <alignment horizontal="left"/>
    </xf>
    <xf numFmtId="0" fontId="14" fillId="0" borderId="26" xfId="0" applyFont="1" applyBorder="1"/>
    <xf numFmtId="0" fontId="14" fillId="0" borderId="28" xfId="0" applyFont="1" applyBorder="1"/>
    <xf numFmtId="0" fontId="0" fillId="0" borderId="27" xfId="0" applyBorder="1"/>
    <xf numFmtId="0" fontId="14" fillId="0" borderId="27" xfId="0" applyFont="1" applyBorder="1"/>
    <xf numFmtId="0" fontId="15" fillId="0" borderId="0" xfId="0" applyFont="1"/>
    <xf numFmtId="0" fontId="15" fillId="0" borderId="27" xfId="0" applyFont="1" applyBorder="1"/>
    <xf numFmtId="0" fontId="0" fillId="0" borderId="0" xfId="0" applyAlignment="1">
      <alignment horizontal="center"/>
    </xf>
    <xf numFmtId="0" fontId="14" fillId="0" borderId="29" xfId="0" applyFont="1" applyBorder="1"/>
    <xf numFmtId="0" fontId="14" fillId="0" borderId="30" xfId="0" applyFont="1" applyBorder="1"/>
    <xf numFmtId="0" fontId="0" fillId="0" borderId="1" xfId="0" applyBorder="1"/>
    <xf numFmtId="181" fontId="56" fillId="0" borderId="3" xfId="807" applyNumberFormat="1" applyFont="1" applyBorder="1" applyAlignment="1">
      <alignment horizontal="center"/>
    </xf>
    <xf numFmtId="168" fontId="56" fillId="0" borderId="3" xfId="807" applyNumberFormat="1" applyFont="1" applyBorder="1" applyAlignment="1">
      <alignment horizontal="center"/>
    </xf>
    <xf numFmtId="12" fontId="23" fillId="0" borderId="0" xfId="807" applyNumberFormat="1" applyFont="1" applyAlignment="1">
      <alignment horizontal="center"/>
    </xf>
    <xf numFmtId="12" fontId="18" fillId="0" borderId="0" xfId="807" applyNumberFormat="1" applyFont="1" applyAlignment="1">
      <alignment horizontal="center"/>
    </xf>
    <xf numFmtId="167" fontId="18" fillId="0" borderId="0" xfId="807" applyNumberFormat="1" applyFont="1" applyAlignment="1">
      <alignment horizontal="center"/>
    </xf>
    <xf numFmtId="0" fontId="23" fillId="0" borderId="0" xfId="807" applyFont="1"/>
    <xf numFmtId="0" fontId="57" fillId="0" borderId="1" xfId="807" applyFont="1" applyBorder="1"/>
    <xf numFmtId="0" fontId="23" fillId="0" borderId="1" xfId="807" applyFont="1" applyBorder="1"/>
    <xf numFmtId="0" fontId="57" fillId="0" borderId="0" xfId="807" applyFont="1"/>
    <xf numFmtId="0" fontId="57" fillId="0" borderId="1" xfId="807" applyFont="1" applyBorder="1" applyAlignment="1">
      <alignment horizontal="left"/>
    </xf>
    <xf numFmtId="0" fontId="57" fillId="0" borderId="1" xfId="807" applyFont="1" applyBorder="1" applyAlignment="1">
      <alignment horizontal="center"/>
    </xf>
    <xf numFmtId="2" fontId="23" fillId="0" borderId="0" xfId="807" applyNumberFormat="1" applyFont="1" applyAlignment="1">
      <alignment horizontal="center"/>
    </xf>
    <xf numFmtId="0" fontId="58" fillId="0" borderId="1" xfId="807" applyFont="1" applyBorder="1" applyAlignment="1">
      <alignment horizontal="center"/>
    </xf>
    <xf numFmtId="2" fontId="23" fillId="0" borderId="0" xfId="807" applyNumberFormat="1" applyFont="1"/>
    <xf numFmtId="2" fontId="0" fillId="0" borderId="0" xfId="807" applyNumberFormat="1" applyFont="1" applyAlignment="1">
      <alignment horizontal="center"/>
    </xf>
    <xf numFmtId="0" fontId="0" fillId="0" borderId="0" xfId="807" applyFont="1" applyAlignment="1">
      <alignment horizontal="center"/>
    </xf>
    <xf numFmtId="0" fontId="57" fillId="0" borderId="0" xfId="807" applyFont="1" applyAlignment="1">
      <alignment horizontal="center"/>
    </xf>
    <xf numFmtId="167" fontId="15" fillId="0" borderId="0" xfId="807" applyNumberFormat="1" applyFont="1" applyAlignment="1">
      <alignment horizontal="center"/>
    </xf>
    <xf numFmtId="2" fontId="18" fillId="0" borderId="0" xfId="807" applyNumberFormat="1" applyFont="1"/>
    <xf numFmtId="12" fontId="18" fillId="0" borderId="0" xfId="807" applyNumberFormat="1" applyFont="1" applyAlignment="1">
      <alignment vertical="center"/>
    </xf>
    <xf numFmtId="2" fontId="18" fillId="0" borderId="0" xfId="807" applyNumberFormat="1" applyFont="1" applyAlignment="1">
      <alignment horizontal="center"/>
    </xf>
    <xf numFmtId="0" fontId="60" fillId="0" borderId="1" xfId="807" applyFont="1" applyBorder="1" applyAlignment="1">
      <alignment horizontal="center"/>
    </xf>
    <xf numFmtId="0" fontId="49" fillId="0" borderId="1" xfId="807" applyFont="1" applyBorder="1"/>
    <xf numFmtId="0" fontId="18" fillId="0" borderId="0" xfId="807" applyFont="1"/>
    <xf numFmtId="2" fontId="0" fillId="0" borderId="0" xfId="807" applyNumberFormat="1" applyFont="1"/>
    <xf numFmtId="0" fontId="3" fillId="0" borderId="0" xfId="0" applyFont="1" applyAlignment="1">
      <alignment horizontal="left"/>
    </xf>
    <xf numFmtId="14" fontId="14" fillId="0" borderId="0" xfId="136" applyNumberFormat="1" applyFont="1" applyAlignment="1">
      <alignment horizontal="center" vertical="center"/>
    </xf>
    <xf numFmtId="0" fontId="0" fillId="0" borderId="0" xfId="0" applyAlignment="1">
      <alignment horizontal="left"/>
    </xf>
    <xf numFmtId="0" fontId="47" fillId="0" borderId="0" xfId="0" applyFont="1" applyAlignment="1">
      <alignment horizontal="right"/>
    </xf>
    <xf numFmtId="9" fontId="14" fillId="0" borderId="0" xfId="0" applyNumberFormat="1" applyFont="1"/>
    <xf numFmtId="2" fontId="15" fillId="0" borderId="0" xfId="0" applyNumberFormat="1" applyFont="1"/>
    <xf numFmtId="2" fontId="18" fillId="0" borderId="0" xfId="0" applyNumberFormat="1" applyFont="1"/>
    <xf numFmtId="0" fontId="0" fillId="24" borderId="0" xfId="0" applyFill="1" applyAlignment="1">
      <alignment horizontal="center"/>
    </xf>
    <xf numFmtId="0" fontId="13" fillId="0" borderId="0" xfId="0" applyFont="1"/>
    <xf numFmtId="167" fontId="15" fillId="0" borderId="0" xfId="0" applyNumberFormat="1" applyFont="1"/>
    <xf numFmtId="168" fontId="18" fillId="0" borderId="0" xfId="0" applyNumberFormat="1" applyFont="1" applyAlignment="1">
      <alignment horizontal="right"/>
    </xf>
    <xf numFmtId="0" fontId="17" fillId="0" borderId="0" xfId="0" applyFont="1" applyAlignment="1">
      <alignment horizontal="left"/>
    </xf>
    <xf numFmtId="168" fontId="14" fillId="0" borderId="0" xfId="0" applyNumberFormat="1" applyFont="1" applyAlignment="1">
      <alignment horizontal="right"/>
    </xf>
    <xf numFmtId="2" fontId="18" fillId="0" borderId="0" xfId="0" applyNumberFormat="1" applyFont="1" applyAlignment="1">
      <alignment horizontal="right"/>
    </xf>
    <xf numFmtId="2" fontId="0" fillId="0" borderId="0" xfId="0" applyNumberFormat="1" applyAlignment="1">
      <alignment horizontal="right"/>
    </xf>
    <xf numFmtId="170" fontId="0" fillId="0" borderId="0" xfId="0" applyNumberFormat="1" applyAlignment="1">
      <alignment horizontal="left"/>
    </xf>
    <xf numFmtId="172" fontId="0" fillId="0" borderId="0" xfId="0" applyNumberFormat="1" applyAlignment="1">
      <alignment horizontal="left"/>
    </xf>
    <xf numFmtId="2" fontId="0" fillId="0" borderId="0" xfId="0" applyNumberFormat="1"/>
    <xf numFmtId="0" fontId="14" fillId="0" borderId="0" xfId="0" applyFont="1" applyAlignment="1">
      <alignment horizontal="left" vertical="top"/>
    </xf>
    <xf numFmtId="2" fontId="12" fillId="0" borderId="0" xfId="0" applyNumberFormat="1" applyFont="1" applyAlignment="1">
      <alignment vertical="center"/>
    </xf>
    <xf numFmtId="167" fontId="0" fillId="0" borderId="0" xfId="0" applyNumberFormat="1" applyAlignment="1">
      <alignment horizontal="right"/>
    </xf>
    <xf numFmtId="167" fontId="0" fillId="0" borderId="0" xfId="0" applyNumberFormat="1"/>
    <xf numFmtId="167" fontId="14" fillId="0" borderId="0" xfId="0" applyNumberFormat="1" applyFont="1" applyAlignment="1">
      <alignment horizontal="left"/>
    </xf>
    <xf numFmtId="0" fontId="17" fillId="0" borderId="0" xfId="0" applyFont="1"/>
    <xf numFmtId="0" fontId="16" fillId="0" borderId="0" xfId="0" applyFont="1" applyAlignment="1">
      <alignment horizontal="left"/>
    </xf>
    <xf numFmtId="0" fontId="17" fillId="0" borderId="0" xfId="0" applyFont="1" applyAlignment="1">
      <alignment horizontal="right"/>
    </xf>
    <xf numFmtId="49" fontId="16" fillId="0" borderId="0" xfId="0" applyNumberFormat="1" applyFont="1" applyAlignment="1">
      <alignment horizontal="right"/>
    </xf>
    <xf numFmtId="180" fontId="14" fillId="0" borderId="0" xfId="0" applyNumberFormat="1" applyFont="1" applyAlignment="1">
      <alignment horizontal="left"/>
    </xf>
    <xf numFmtId="171" fontId="14" fillId="0" borderId="0" xfId="0" applyNumberFormat="1" applyFont="1"/>
    <xf numFmtId="169" fontId="14" fillId="0" borderId="0" xfId="0" applyNumberFormat="1" applyFont="1"/>
    <xf numFmtId="180" fontId="14" fillId="0" borderId="0" xfId="0" applyNumberFormat="1" applyFont="1"/>
    <xf numFmtId="49" fontId="16" fillId="0" borderId="0" xfId="0" applyNumberFormat="1" applyFont="1" applyAlignment="1">
      <alignment horizontal="center"/>
    </xf>
    <xf numFmtId="0" fontId="23" fillId="0" borderId="0" xfId="0" applyFont="1"/>
    <xf numFmtId="9" fontId="14" fillId="0" borderId="0" xfId="1" applyFont="1" applyFill="1" applyBorder="1" applyAlignment="1">
      <alignment horizontal="center"/>
    </xf>
    <xf numFmtId="0" fontId="15" fillId="0" borderId="0" xfId="0" applyFont="1" applyAlignment="1">
      <alignment horizontal="right"/>
    </xf>
    <xf numFmtId="0" fontId="48" fillId="0" borderId="0" xfId="0" applyFont="1"/>
    <xf numFmtId="0" fontId="24" fillId="0" borderId="0" xfId="0" applyFont="1"/>
    <xf numFmtId="0" fontId="14" fillId="0" borderId="0" xfId="0" applyFont="1" applyAlignment="1">
      <alignment vertical="center" wrapText="1"/>
    </xf>
    <xf numFmtId="0" fontId="3" fillId="0" borderId="0" xfId="50" applyFont="1" applyAlignment="1">
      <alignment vertical="center"/>
    </xf>
    <xf numFmtId="2" fontId="47" fillId="0" borderId="0" xfId="0" applyNumberFormat="1" applyFont="1" applyAlignment="1">
      <alignment horizontal="left"/>
    </xf>
    <xf numFmtId="0" fontId="61" fillId="0" borderId="0" xfId="0" applyFont="1" applyAlignment="1">
      <alignment horizontal="left" vertical="center"/>
    </xf>
    <xf numFmtId="0" fontId="0" fillId="0" borderId="0" xfId="0" applyAlignment="1">
      <alignment horizontal="centerContinuous"/>
    </xf>
    <xf numFmtId="0" fontId="0" fillId="0" borderId="0" xfId="0" applyAlignment="1">
      <alignment horizontal="left" vertical="top"/>
    </xf>
    <xf numFmtId="2" fontId="3" fillId="0" borderId="0" xfId="0" applyNumberFormat="1" applyFont="1" applyAlignment="1">
      <alignment vertical="center"/>
    </xf>
    <xf numFmtId="0" fontId="63" fillId="0" borderId="0" xfId="0" applyFont="1"/>
    <xf numFmtId="0" fontId="63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2" fontId="14" fillId="0" borderId="0" xfId="1" applyNumberFormat="1" applyFont="1" applyBorder="1" applyAlignment="1">
      <alignment horizontal="center"/>
    </xf>
    <xf numFmtId="168" fontId="14" fillId="0" borderId="0" xfId="1" applyNumberFormat="1" applyFont="1" applyBorder="1" applyAlignment="1">
      <alignment horizontal="center"/>
    </xf>
    <xf numFmtId="0" fontId="3" fillId="0" borderId="0" xfId="50" applyFont="1" applyAlignment="1">
      <alignment horizontal="center" vertical="center"/>
    </xf>
    <xf numFmtId="0" fontId="50" fillId="0" borderId="0" xfId="0" applyFont="1" applyAlignment="1">
      <alignment horizontal="center"/>
    </xf>
    <xf numFmtId="12" fontId="49" fillId="0" borderId="0" xfId="0" applyNumberFormat="1" applyFont="1" applyAlignment="1">
      <alignment horizont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12" fontId="14" fillId="0" borderId="0" xfId="0" applyNumberFormat="1" applyFont="1" applyAlignment="1">
      <alignment horizontal="left"/>
    </xf>
    <xf numFmtId="0" fontId="55" fillId="0" borderId="0" xfId="0" applyFont="1" applyAlignment="1">
      <alignment horizontal="center"/>
    </xf>
    <xf numFmtId="12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7" fontId="49" fillId="0" borderId="0" xfId="0" applyNumberFormat="1" applyFont="1" applyAlignment="1">
      <alignment horizontal="center"/>
    </xf>
    <xf numFmtId="0" fontId="53" fillId="0" borderId="0" xfId="0" applyFont="1"/>
    <xf numFmtId="2" fontId="0" fillId="0" borderId="1" xfId="0" applyNumberFormat="1" applyBorder="1" applyAlignment="1">
      <alignment horizontal="center"/>
    </xf>
    <xf numFmtId="0" fontId="14" fillId="0" borderId="25" xfId="0" applyFont="1" applyBorder="1"/>
    <xf numFmtId="0" fontId="64" fillId="0" borderId="0" xfId="0" applyFont="1"/>
    <xf numFmtId="0" fontId="0" fillId="0" borderId="0" xfId="0" quotePrefix="1" applyAlignment="1">
      <alignment horizontal="center"/>
    </xf>
    <xf numFmtId="2" fontId="0" fillId="0" borderId="0" xfId="1" applyNumberFormat="1" applyFont="1" applyBorder="1" applyAlignment="1">
      <alignment horizontal="center"/>
    </xf>
    <xf numFmtId="2" fontId="14" fillId="0" borderId="2" xfId="0" applyNumberFormat="1" applyFont="1" applyBorder="1"/>
    <xf numFmtId="0" fontId="63" fillId="0" borderId="27" xfId="0" applyFont="1" applyBorder="1"/>
    <xf numFmtId="0" fontId="70" fillId="0" borderId="0" xfId="0" applyFont="1"/>
    <xf numFmtId="2" fontId="50" fillId="0" borderId="1" xfId="0" applyNumberFormat="1" applyFont="1" applyBorder="1" applyAlignment="1">
      <alignment horizontal="center"/>
    </xf>
    <xf numFmtId="0" fontId="12" fillId="0" borderId="0" xfId="50" applyFont="1" applyAlignment="1">
      <alignment horizontal="left" vertical="center"/>
    </xf>
    <xf numFmtId="0" fontId="12" fillId="0" borderId="0" xfId="50" applyFont="1" applyAlignment="1">
      <alignment horizontal="center" vertical="center" wrapText="1"/>
    </xf>
    <xf numFmtId="0" fontId="12" fillId="0" borderId="0" xfId="50" applyFont="1" applyAlignment="1">
      <alignment horizontal="right" vertical="center"/>
    </xf>
    <xf numFmtId="167" fontId="14" fillId="0" borderId="1" xfId="0" applyNumberFormat="1" applyFont="1" applyBorder="1"/>
    <xf numFmtId="0" fontId="18" fillId="0" borderId="0" xfId="807" applyFont="1" applyAlignment="1">
      <alignment horizontal="center"/>
    </xf>
    <xf numFmtId="0" fontId="51" fillId="0" borderId="0" xfId="807" applyFont="1" applyAlignment="1">
      <alignment horizontal="center"/>
    </xf>
    <xf numFmtId="0" fontId="49" fillId="0" borderId="0" xfId="807" applyFont="1" applyAlignment="1">
      <alignment horizontal="center"/>
    </xf>
    <xf numFmtId="0" fontId="15" fillId="0" borderId="0" xfId="0" applyFont="1" applyAlignment="1">
      <alignment horizontal="left"/>
    </xf>
    <xf numFmtId="9" fontId="0" fillId="0" borderId="0" xfId="0" applyNumberFormat="1"/>
    <xf numFmtId="9" fontId="14" fillId="0" borderId="25" xfId="0" applyNumberFormat="1" applyFont="1" applyBorder="1"/>
    <xf numFmtId="9" fontId="0" fillId="0" borderId="2" xfId="0" applyNumberFormat="1" applyBorder="1"/>
    <xf numFmtId="9" fontId="14" fillId="0" borderId="2" xfId="0" applyNumberFormat="1" applyFont="1" applyBorder="1"/>
    <xf numFmtId="0" fontId="3" fillId="25" borderId="0" xfId="0" applyFont="1" applyFill="1" applyAlignment="1">
      <alignment horizontal="left"/>
    </xf>
    <xf numFmtId="0" fontId="14" fillId="25" borderId="0" xfId="0" applyFont="1" applyFill="1"/>
    <xf numFmtId="0" fontId="3" fillId="25" borderId="0" xfId="0" applyFont="1" applyFill="1"/>
    <xf numFmtId="0" fontId="12" fillId="25" borderId="0" xfId="0" applyFont="1" applyFill="1"/>
    <xf numFmtId="0" fontId="74" fillId="25" borderId="0" xfId="0" applyFont="1" applyFill="1" applyAlignment="1">
      <alignment horizontal="center" vertical="center" readingOrder="1"/>
    </xf>
    <xf numFmtId="0" fontId="0" fillId="25" borderId="0" xfId="0" applyFill="1"/>
    <xf numFmtId="14" fontId="73" fillId="25" borderId="0" xfId="0" applyNumberFormat="1" applyFont="1" applyFill="1" applyAlignment="1">
      <alignment horizontal="left"/>
    </xf>
    <xf numFmtId="0" fontId="73" fillId="25" borderId="0" xfId="0" applyFont="1" applyFill="1" applyAlignment="1">
      <alignment horizontal="left"/>
    </xf>
    <xf numFmtId="0" fontId="3" fillId="25" borderId="25" xfId="0" applyFont="1" applyFill="1" applyBorder="1"/>
    <xf numFmtId="0" fontId="3" fillId="25" borderId="2" xfId="0" applyFont="1" applyFill="1" applyBorder="1"/>
    <xf numFmtId="0" fontId="3" fillId="25" borderId="26" xfId="0" applyFont="1" applyFill="1" applyBorder="1"/>
    <xf numFmtId="0" fontId="0" fillId="25" borderId="27" xfId="0" applyFill="1" applyBorder="1"/>
    <xf numFmtId="0" fontId="3" fillId="25" borderId="28" xfId="0" applyFont="1" applyFill="1" applyBorder="1"/>
    <xf numFmtId="0" fontId="72" fillId="25" borderId="27" xfId="0" applyFont="1" applyFill="1" applyBorder="1"/>
    <xf numFmtId="0" fontId="74" fillId="25" borderId="28" xfId="0" applyFont="1" applyFill="1" applyBorder="1" applyAlignment="1">
      <alignment horizontal="center" vertical="center" readingOrder="1"/>
    </xf>
    <xf numFmtId="0" fontId="3" fillId="25" borderId="29" xfId="0" applyFont="1" applyFill="1" applyBorder="1"/>
    <xf numFmtId="0" fontId="3" fillId="25" borderId="1" xfId="0" applyFont="1" applyFill="1" applyBorder="1"/>
    <xf numFmtId="0" fontId="3" fillId="25" borderId="30" xfId="0" applyFont="1" applyFill="1" applyBorder="1"/>
    <xf numFmtId="0" fontId="14" fillId="0" borderId="6" xfId="0" applyFont="1" applyBorder="1"/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0" fillId="24" borderId="0" xfId="0" applyFill="1" applyAlignment="1">
      <alignment horizontal="center"/>
    </xf>
    <xf numFmtId="0" fontId="14" fillId="24" borderId="0" xfId="0" applyFont="1" applyFill="1" applyAlignment="1">
      <alignment horizontal="center"/>
    </xf>
    <xf numFmtId="0" fontId="12" fillId="0" borderId="36" xfId="50" applyFont="1" applyBorder="1" applyAlignment="1">
      <alignment horizontal="left" vertical="center"/>
    </xf>
    <xf numFmtId="0" fontId="12" fillId="0" borderId="37" xfId="50" applyFont="1" applyBorder="1" applyAlignment="1">
      <alignment horizontal="left" vertical="center"/>
    </xf>
    <xf numFmtId="0" fontId="12" fillId="0" borderId="35" xfId="50" applyFont="1" applyBorder="1" applyAlignment="1">
      <alignment horizontal="left" vertical="center"/>
    </xf>
    <xf numFmtId="0" fontId="12" fillId="0" borderId="7" xfId="50" applyFont="1" applyBorder="1" applyAlignment="1">
      <alignment horizontal="center" vertical="center" wrapText="1"/>
    </xf>
    <xf numFmtId="0" fontId="12" fillId="0" borderId="4" xfId="50" applyFont="1" applyBorder="1" applyAlignment="1">
      <alignment horizontal="center" vertical="center" wrapText="1"/>
    </xf>
    <xf numFmtId="0" fontId="12" fillId="0" borderId="8" xfId="50" applyFont="1" applyBorder="1" applyAlignment="1">
      <alignment horizontal="center" vertical="center" wrapText="1"/>
    </xf>
    <xf numFmtId="0" fontId="12" fillId="0" borderId="11" xfId="50" applyFont="1" applyBorder="1" applyAlignment="1">
      <alignment horizontal="center" vertical="center" wrapText="1"/>
    </xf>
    <xf numFmtId="0" fontId="12" fillId="0" borderId="6" xfId="50" applyFont="1" applyBorder="1" applyAlignment="1">
      <alignment horizontal="center" vertical="center" wrapText="1"/>
    </xf>
    <xf numFmtId="0" fontId="12" fillId="0" borderId="12" xfId="50" applyFont="1" applyBorder="1" applyAlignment="1">
      <alignment horizontal="center" vertical="center" wrapText="1"/>
    </xf>
    <xf numFmtId="0" fontId="12" fillId="0" borderId="3" xfId="50" applyFont="1" applyBorder="1" applyAlignment="1">
      <alignment horizontal="right" vertical="center"/>
    </xf>
    <xf numFmtId="0" fontId="0" fillId="0" borderId="27" xfId="0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14" fillId="0" borderId="27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0" fillId="0" borderId="27" xfId="0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 wrapText="1"/>
    </xf>
  </cellXfs>
  <cellStyles count="808">
    <cellStyle name="20% - Accent1 2" xfId="461" xr:uid="{00000000-0005-0000-0000-000000000000}"/>
    <cellStyle name="20% - Accent1 3" xfId="462" xr:uid="{00000000-0005-0000-0000-000001000000}"/>
    <cellStyle name="20% - Accent2 2" xfId="463" xr:uid="{00000000-0005-0000-0000-000002000000}"/>
    <cellStyle name="20% - Accent2 3" xfId="464" xr:uid="{00000000-0005-0000-0000-000003000000}"/>
    <cellStyle name="20% - Accent3 2" xfId="465" xr:uid="{00000000-0005-0000-0000-000004000000}"/>
    <cellStyle name="20% - Accent3 3" xfId="466" xr:uid="{00000000-0005-0000-0000-000005000000}"/>
    <cellStyle name="20% - Accent4 2" xfId="467" xr:uid="{00000000-0005-0000-0000-000006000000}"/>
    <cellStyle name="20% - Accent4 3" xfId="468" xr:uid="{00000000-0005-0000-0000-000007000000}"/>
    <cellStyle name="20% - Accent5 2" xfId="469" xr:uid="{00000000-0005-0000-0000-000008000000}"/>
    <cellStyle name="20% - Accent5 3" xfId="470" xr:uid="{00000000-0005-0000-0000-000009000000}"/>
    <cellStyle name="20% - Accent6 2" xfId="471" xr:uid="{00000000-0005-0000-0000-00000A000000}"/>
    <cellStyle name="20% - Accent6 3" xfId="472" xr:uid="{00000000-0005-0000-0000-00000B000000}"/>
    <cellStyle name="40% - Accent1 2" xfId="473" xr:uid="{00000000-0005-0000-0000-00000C000000}"/>
    <cellStyle name="40% - Accent1 3" xfId="474" xr:uid="{00000000-0005-0000-0000-00000D000000}"/>
    <cellStyle name="40% - Accent2 2" xfId="475" xr:uid="{00000000-0005-0000-0000-00000E000000}"/>
    <cellStyle name="40% - Accent2 3" xfId="476" xr:uid="{00000000-0005-0000-0000-00000F000000}"/>
    <cellStyle name="40% - Accent3 2" xfId="477" xr:uid="{00000000-0005-0000-0000-000010000000}"/>
    <cellStyle name="40% - Accent3 3" xfId="478" xr:uid="{00000000-0005-0000-0000-000011000000}"/>
    <cellStyle name="40% - Accent4 2" xfId="479" xr:uid="{00000000-0005-0000-0000-000012000000}"/>
    <cellStyle name="40% - Accent4 3" xfId="480" xr:uid="{00000000-0005-0000-0000-000013000000}"/>
    <cellStyle name="40% - Accent5 2" xfId="481" xr:uid="{00000000-0005-0000-0000-000014000000}"/>
    <cellStyle name="40% - Accent5 3" xfId="482" xr:uid="{00000000-0005-0000-0000-000015000000}"/>
    <cellStyle name="40% - Accent6 2" xfId="483" xr:uid="{00000000-0005-0000-0000-000016000000}"/>
    <cellStyle name="40% - Accent6 3" xfId="484" xr:uid="{00000000-0005-0000-0000-000017000000}"/>
    <cellStyle name="60% - Accent1 2" xfId="485" xr:uid="{00000000-0005-0000-0000-000018000000}"/>
    <cellStyle name="60% - Accent1 3" xfId="486" xr:uid="{00000000-0005-0000-0000-000019000000}"/>
    <cellStyle name="60% - Accent2 2" xfId="487" xr:uid="{00000000-0005-0000-0000-00001A000000}"/>
    <cellStyle name="60% - Accent2 3" xfId="488" xr:uid="{00000000-0005-0000-0000-00001B000000}"/>
    <cellStyle name="60% - Accent3 2" xfId="489" xr:uid="{00000000-0005-0000-0000-00001C000000}"/>
    <cellStyle name="60% - Accent3 3" xfId="490" xr:uid="{00000000-0005-0000-0000-00001D000000}"/>
    <cellStyle name="60% - Accent4 2" xfId="491" xr:uid="{00000000-0005-0000-0000-00001E000000}"/>
    <cellStyle name="60% - Accent4 3" xfId="492" xr:uid="{00000000-0005-0000-0000-00001F000000}"/>
    <cellStyle name="60% - Accent5 2" xfId="493" xr:uid="{00000000-0005-0000-0000-000020000000}"/>
    <cellStyle name="60% - Accent5 3" xfId="494" xr:uid="{00000000-0005-0000-0000-000021000000}"/>
    <cellStyle name="60% - Accent6 2" xfId="495" xr:uid="{00000000-0005-0000-0000-000022000000}"/>
    <cellStyle name="60% - Accent6 3" xfId="496" xr:uid="{00000000-0005-0000-0000-000023000000}"/>
    <cellStyle name="Accent1 2" xfId="497" xr:uid="{00000000-0005-0000-0000-000024000000}"/>
    <cellStyle name="Accent1 3" xfId="498" xr:uid="{00000000-0005-0000-0000-000025000000}"/>
    <cellStyle name="Accent2 2" xfId="499" xr:uid="{00000000-0005-0000-0000-000026000000}"/>
    <cellStyle name="Accent2 3" xfId="500" xr:uid="{00000000-0005-0000-0000-000027000000}"/>
    <cellStyle name="Accent3 2" xfId="501" xr:uid="{00000000-0005-0000-0000-000028000000}"/>
    <cellStyle name="Accent3 3" xfId="502" xr:uid="{00000000-0005-0000-0000-000029000000}"/>
    <cellStyle name="Accent4 2" xfId="503" xr:uid="{00000000-0005-0000-0000-00002A000000}"/>
    <cellStyle name="Accent4 3" xfId="504" xr:uid="{00000000-0005-0000-0000-00002B000000}"/>
    <cellStyle name="Accent5 2" xfId="505" xr:uid="{00000000-0005-0000-0000-00002C000000}"/>
    <cellStyle name="Accent5 3" xfId="506" xr:uid="{00000000-0005-0000-0000-00002D000000}"/>
    <cellStyle name="Accent6 2" xfId="507" xr:uid="{00000000-0005-0000-0000-00002E000000}"/>
    <cellStyle name="Accent6 3" xfId="508" xr:uid="{00000000-0005-0000-0000-00002F000000}"/>
    <cellStyle name="Bad 2" xfId="509" xr:uid="{00000000-0005-0000-0000-000030000000}"/>
    <cellStyle name="Bad 3" xfId="510" xr:uid="{00000000-0005-0000-0000-000031000000}"/>
    <cellStyle name="Buena 2" xfId="724" xr:uid="{00000000-0005-0000-0000-000032000000}"/>
    <cellStyle name="Calculation 2" xfId="511" xr:uid="{00000000-0005-0000-0000-000033000000}"/>
    <cellStyle name="Calculation 3" xfId="512" xr:uid="{00000000-0005-0000-0000-000034000000}"/>
    <cellStyle name="Cancel" xfId="51" xr:uid="{00000000-0005-0000-0000-000035000000}"/>
    <cellStyle name="Cancel 2" xfId="513" xr:uid="{00000000-0005-0000-0000-000036000000}"/>
    <cellStyle name="Check Cell 2" xfId="514" xr:uid="{00000000-0005-0000-0000-000037000000}"/>
    <cellStyle name="Check Cell 3" xfId="515" xr:uid="{00000000-0005-0000-0000-000038000000}"/>
    <cellStyle name="Comma 2" xfId="516" xr:uid="{00000000-0005-0000-0000-000039000000}"/>
    <cellStyle name="Comma 2 2" xfId="52" xr:uid="{00000000-0005-0000-0000-00003A000000}"/>
    <cellStyle name="Comma 2 3" xfId="517" xr:uid="{00000000-0005-0000-0000-00003B000000}"/>
    <cellStyle name="Comma 3" xfId="53" xr:uid="{00000000-0005-0000-0000-00003C000000}"/>
    <cellStyle name="Comma 3 10" xfId="54" xr:uid="{00000000-0005-0000-0000-00003D000000}"/>
    <cellStyle name="Comma 3 10 2" xfId="518" xr:uid="{00000000-0005-0000-0000-00003E000000}"/>
    <cellStyle name="Comma 3 11" xfId="55" xr:uid="{00000000-0005-0000-0000-00003F000000}"/>
    <cellStyle name="Comma 3 11 2" xfId="519" xr:uid="{00000000-0005-0000-0000-000040000000}"/>
    <cellStyle name="Comma 3 12" xfId="56" xr:uid="{00000000-0005-0000-0000-000041000000}"/>
    <cellStyle name="Comma 3 12 2" xfId="520" xr:uid="{00000000-0005-0000-0000-000042000000}"/>
    <cellStyle name="Comma 3 13" xfId="57" xr:uid="{00000000-0005-0000-0000-000043000000}"/>
    <cellStyle name="Comma 3 13 2" xfId="521" xr:uid="{00000000-0005-0000-0000-000044000000}"/>
    <cellStyle name="Comma 3 14" xfId="58" xr:uid="{00000000-0005-0000-0000-000045000000}"/>
    <cellStyle name="Comma 3 14 2" xfId="522" xr:uid="{00000000-0005-0000-0000-000046000000}"/>
    <cellStyle name="Comma 3 15" xfId="59" xr:uid="{00000000-0005-0000-0000-000047000000}"/>
    <cellStyle name="Comma 3 15 2" xfId="523" xr:uid="{00000000-0005-0000-0000-000048000000}"/>
    <cellStyle name="Comma 3 16" xfId="60" xr:uid="{00000000-0005-0000-0000-000049000000}"/>
    <cellStyle name="Comma 3 16 2" xfId="524" xr:uid="{00000000-0005-0000-0000-00004A000000}"/>
    <cellStyle name="Comma 3 17" xfId="61" xr:uid="{00000000-0005-0000-0000-00004B000000}"/>
    <cellStyle name="Comma 3 17 2" xfId="525" xr:uid="{00000000-0005-0000-0000-00004C000000}"/>
    <cellStyle name="Comma 3 18" xfId="526" xr:uid="{00000000-0005-0000-0000-00004D000000}"/>
    <cellStyle name="Comma 3 2" xfId="62" xr:uid="{00000000-0005-0000-0000-00004E000000}"/>
    <cellStyle name="Comma 3 2 2" xfId="527" xr:uid="{00000000-0005-0000-0000-00004F000000}"/>
    <cellStyle name="Comma 3 3" xfId="63" xr:uid="{00000000-0005-0000-0000-000050000000}"/>
    <cellStyle name="Comma 3 3 2" xfId="528" xr:uid="{00000000-0005-0000-0000-000051000000}"/>
    <cellStyle name="Comma 3 4" xfId="64" xr:uid="{00000000-0005-0000-0000-000052000000}"/>
    <cellStyle name="Comma 3 4 2" xfId="529" xr:uid="{00000000-0005-0000-0000-000053000000}"/>
    <cellStyle name="Comma 3 5" xfId="65" xr:uid="{00000000-0005-0000-0000-000054000000}"/>
    <cellStyle name="Comma 3 5 2" xfId="530" xr:uid="{00000000-0005-0000-0000-000055000000}"/>
    <cellStyle name="Comma 3 6" xfId="66" xr:uid="{00000000-0005-0000-0000-000056000000}"/>
    <cellStyle name="Comma 3 6 2" xfId="531" xr:uid="{00000000-0005-0000-0000-000057000000}"/>
    <cellStyle name="Comma 3 7" xfId="67" xr:uid="{00000000-0005-0000-0000-000058000000}"/>
    <cellStyle name="Comma 3 7 2" xfId="532" xr:uid="{00000000-0005-0000-0000-000059000000}"/>
    <cellStyle name="Comma 3 8" xfId="68" xr:uid="{00000000-0005-0000-0000-00005A000000}"/>
    <cellStyle name="Comma 3 8 2" xfId="533" xr:uid="{00000000-0005-0000-0000-00005B000000}"/>
    <cellStyle name="Comma 3 9" xfId="69" xr:uid="{00000000-0005-0000-0000-00005C000000}"/>
    <cellStyle name="Comma 3 9 2" xfId="534" xr:uid="{00000000-0005-0000-0000-00005D000000}"/>
    <cellStyle name="Comma 4" xfId="70" xr:uid="{00000000-0005-0000-0000-00005E000000}"/>
    <cellStyle name="Comma 4 10" xfId="71" xr:uid="{00000000-0005-0000-0000-00005F000000}"/>
    <cellStyle name="Comma 4 10 2" xfId="535" xr:uid="{00000000-0005-0000-0000-000060000000}"/>
    <cellStyle name="Comma 4 11" xfId="72" xr:uid="{00000000-0005-0000-0000-000061000000}"/>
    <cellStyle name="Comma 4 11 2" xfId="536" xr:uid="{00000000-0005-0000-0000-000062000000}"/>
    <cellStyle name="Comma 4 12" xfId="73" xr:uid="{00000000-0005-0000-0000-000063000000}"/>
    <cellStyle name="Comma 4 12 2" xfId="537" xr:uid="{00000000-0005-0000-0000-000064000000}"/>
    <cellStyle name="Comma 4 13" xfId="74" xr:uid="{00000000-0005-0000-0000-000065000000}"/>
    <cellStyle name="Comma 4 13 2" xfId="538" xr:uid="{00000000-0005-0000-0000-000066000000}"/>
    <cellStyle name="Comma 4 14" xfId="75" xr:uid="{00000000-0005-0000-0000-000067000000}"/>
    <cellStyle name="Comma 4 14 2" xfId="539" xr:uid="{00000000-0005-0000-0000-000068000000}"/>
    <cellStyle name="Comma 4 15" xfId="76" xr:uid="{00000000-0005-0000-0000-000069000000}"/>
    <cellStyle name="Comma 4 15 2" xfId="540" xr:uid="{00000000-0005-0000-0000-00006A000000}"/>
    <cellStyle name="Comma 4 16" xfId="77" xr:uid="{00000000-0005-0000-0000-00006B000000}"/>
    <cellStyle name="Comma 4 16 2" xfId="541" xr:uid="{00000000-0005-0000-0000-00006C000000}"/>
    <cellStyle name="Comma 4 17" xfId="78" xr:uid="{00000000-0005-0000-0000-00006D000000}"/>
    <cellStyle name="Comma 4 17 2" xfId="542" xr:uid="{00000000-0005-0000-0000-00006E000000}"/>
    <cellStyle name="Comma 4 18" xfId="79" xr:uid="{00000000-0005-0000-0000-00006F000000}"/>
    <cellStyle name="Comma 4 18 2" xfId="543" xr:uid="{00000000-0005-0000-0000-000070000000}"/>
    <cellStyle name="Comma 4 19" xfId="80" xr:uid="{00000000-0005-0000-0000-000071000000}"/>
    <cellStyle name="Comma 4 19 2" xfId="544" xr:uid="{00000000-0005-0000-0000-000072000000}"/>
    <cellStyle name="Comma 4 2" xfId="81" xr:uid="{00000000-0005-0000-0000-000073000000}"/>
    <cellStyle name="Comma 4 2 2" xfId="545" xr:uid="{00000000-0005-0000-0000-000074000000}"/>
    <cellStyle name="Comma 4 20" xfId="82" xr:uid="{00000000-0005-0000-0000-000075000000}"/>
    <cellStyle name="Comma 4 20 2" xfId="546" xr:uid="{00000000-0005-0000-0000-000076000000}"/>
    <cellStyle name="Comma 4 21" xfId="83" xr:uid="{00000000-0005-0000-0000-000077000000}"/>
    <cellStyle name="Comma 4 21 2" xfId="547" xr:uid="{00000000-0005-0000-0000-000078000000}"/>
    <cellStyle name="Comma 4 22" xfId="84" xr:uid="{00000000-0005-0000-0000-000079000000}"/>
    <cellStyle name="Comma 4 22 2" xfId="548" xr:uid="{00000000-0005-0000-0000-00007A000000}"/>
    <cellStyle name="Comma 4 23" xfId="85" xr:uid="{00000000-0005-0000-0000-00007B000000}"/>
    <cellStyle name="Comma 4 23 2" xfId="549" xr:uid="{00000000-0005-0000-0000-00007C000000}"/>
    <cellStyle name="Comma 4 24" xfId="86" xr:uid="{00000000-0005-0000-0000-00007D000000}"/>
    <cellStyle name="Comma 4 24 2" xfId="550" xr:uid="{00000000-0005-0000-0000-00007E000000}"/>
    <cellStyle name="Comma 4 25" xfId="87" xr:uid="{00000000-0005-0000-0000-00007F000000}"/>
    <cellStyle name="Comma 4 25 2" xfId="551" xr:uid="{00000000-0005-0000-0000-000080000000}"/>
    <cellStyle name="Comma 4 26" xfId="88" xr:uid="{00000000-0005-0000-0000-000081000000}"/>
    <cellStyle name="Comma 4 26 2" xfId="552" xr:uid="{00000000-0005-0000-0000-000082000000}"/>
    <cellStyle name="Comma 4 27" xfId="89" xr:uid="{00000000-0005-0000-0000-000083000000}"/>
    <cellStyle name="Comma 4 27 2" xfId="553" xr:uid="{00000000-0005-0000-0000-000084000000}"/>
    <cellStyle name="Comma 4 28" xfId="554" xr:uid="{00000000-0005-0000-0000-000085000000}"/>
    <cellStyle name="Comma 4 3" xfId="90" xr:uid="{00000000-0005-0000-0000-000086000000}"/>
    <cellStyle name="Comma 4 3 2" xfId="555" xr:uid="{00000000-0005-0000-0000-000087000000}"/>
    <cellStyle name="Comma 4 4" xfId="91" xr:uid="{00000000-0005-0000-0000-000088000000}"/>
    <cellStyle name="Comma 4 4 2" xfId="556" xr:uid="{00000000-0005-0000-0000-000089000000}"/>
    <cellStyle name="Comma 4 5" xfId="92" xr:uid="{00000000-0005-0000-0000-00008A000000}"/>
    <cellStyle name="Comma 4 5 2" xfId="557" xr:uid="{00000000-0005-0000-0000-00008B000000}"/>
    <cellStyle name="Comma 4 6" xfId="93" xr:uid="{00000000-0005-0000-0000-00008C000000}"/>
    <cellStyle name="Comma 4 6 2" xfId="558" xr:uid="{00000000-0005-0000-0000-00008D000000}"/>
    <cellStyle name="Comma 4 7" xfId="94" xr:uid="{00000000-0005-0000-0000-00008E000000}"/>
    <cellStyle name="Comma 4 7 2" xfId="559" xr:uid="{00000000-0005-0000-0000-00008F000000}"/>
    <cellStyle name="Comma 4 8" xfId="95" xr:uid="{00000000-0005-0000-0000-000090000000}"/>
    <cellStyle name="Comma 4 8 2" xfId="560" xr:uid="{00000000-0005-0000-0000-000091000000}"/>
    <cellStyle name="Comma 4 9" xfId="96" xr:uid="{00000000-0005-0000-0000-000092000000}"/>
    <cellStyle name="Comma 4 9 2" xfId="561" xr:uid="{00000000-0005-0000-0000-000093000000}"/>
    <cellStyle name="Comma 5" xfId="97" xr:uid="{00000000-0005-0000-0000-000094000000}"/>
    <cellStyle name="Comma 5 2" xfId="98" xr:uid="{00000000-0005-0000-0000-000095000000}"/>
    <cellStyle name="Comma 5 2 2" xfId="562" xr:uid="{00000000-0005-0000-0000-000096000000}"/>
    <cellStyle name="Comma 5 3" xfId="99" xr:uid="{00000000-0005-0000-0000-000097000000}"/>
    <cellStyle name="Comma 5 3 2" xfId="563" xr:uid="{00000000-0005-0000-0000-000098000000}"/>
    <cellStyle name="Comma 5 4" xfId="564" xr:uid="{00000000-0005-0000-0000-000099000000}"/>
    <cellStyle name="Comma 6" xfId="565" xr:uid="{00000000-0005-0000-0000-00009A000000}"/>
    <cellStyle name="Currency 2" xfId="566" xr:uid="{00000000-0005-0000-0000-00009B000000}"/>
    <cellStyle name="Date" xfId="567" xr:uid="{00000000-0005-0000-0000-00009C000000}"/>
    <cellStyle name="Error" xfId="568" xr:uid="{00000000-0005-0000-0000-00009D000000}"/>
    <cellStyle name="Euro" xfId="100" xr:uid="{00000000-0005-0000-0000-00009E000000}"/>
    <cellStyle name="Euro 10" xfId="101" xr:uid="{00000000-0005-0000-0000-00009F000000}"/>
    <cellStyle name="Euro 10 2" xfId="569" xr:uid="{00000000-0005-0000-0000-0000A0000000}"/>
    <cellStyle name="Euro 11" xfId="102" xr:uid="{00000000-0005-0000-0000-0000A1000000}"/>
    <cellStyle name="Euro 11 2" xfId="570" xr:uid="{00000000-0005-0000-0000-0000A2000000}"/>
    <cellStyle name="Euro 12" xfId="103" xr:uid="{00000000-0005-0000-0000-0000A3000000}"/>
    <cellStyle name="Euro 12 2" xfId="571" xr:uid="{00000000-0005-0000-0000-0000A4000000}"/>
    <cellStyle name="Euro 13" xfId="104" xr:uid="{00000000-0005-0000-0000-0000A5000000}"/>
    <cellStyle name="Euro 13 2" xfId="572" xr:uid="{00000000-0005-0000-0000-0000A6000000}"/>
    <cellStyle name="Euro 14" xfId="105" xr:uid="{00000000-0005-0000-0000-0000A7000000}"/>
    <cellStyle name="Euro 14 2" xfId="573" xr:uid="{00000000-0005-0000-0000-0000A8000000}"/>
    <cellStyle name="Euro 15" xfId="106" xr:uid="{00000000-0005-0000-0000-0000A9000000}"/>
    <cellStyle name="Euro 15 2" xfId="574" xr:uid="{00000000-0005-0000-0000-0000AA000000}"/>
    <cellStyle name="Euro 16" xfId="107" xr:uid="{00000000-0005-0000-0000-0000AB000000}"/>
    <cellStyle name="Euro 16 2" xfId="575" xr:uid="{00000000-0005-0000-0000-0000AC000000}"/>
    <cellStyle name="Euro 17" xfId="108" xr:uid="{00000000-0005-0000-0000-0000AD000000}"/>
    <cellStyle name="Euro 17 2" xfId="576" xr:uid="{00000000-0005-0000-0000-0000AE000000}"/>
    <cellStyle name="Euro 18" xfId="577" xr:uid="{00000000-0005-0000-0000-0000AF000000}"/>
    <cellStyle name="Euro 2" xfId="109" xr:uid="{00000000-0005-0000-0000-0000B0000000}"/>
    <cellStyle name="Euro 2 2" xfId="578" xr:uid="{00000000-0005-0000-0000-0000B1000000}"/>
    <cellStyle name="Euro 3" xfId="110" xr:uid="{00000000-0005-0000-0000-0000B2000000}"/>
    <cellStyle name="Euro 3 2" xfId="579" xr:uid="{00000000-0005-0000-0000-0000B3000000}"/>
    <cellStyle name="Euro 4" xfId="111" xr:uid="{00000000-0005-0000-0000-0000B4000000}"/>
    <cellStyle name="Euro 4 2" xfId="580" xr:uid="{00000000-0005-0000-0000-0000B5000000}"/>
    <cellStyle name="Euro 5" xfId="112" xr:uid="{00000000-0005-0000-0000-0000B6000000}"/>
    <cellStyle name="Euro 5 2" xfId="581" xr:uid="{00000000-0005-0000-0000-0000B7000000}"/>
    <cellStyle name="Euro 6" xfId="113" xr:uid="{00000000-0005-0000-0000-0000B8000000}"/>
    <cellStyle name="Euro 6 2" xfId="582" xr:uid="{00000000-0005-0000-0000-0000B9000000}"/>
    <cellStyle name="Euro 7" xfId="114" xr:uid="{00000000-0005-0000-0000-0000BA000000}"/>
    <cellStyle name="Euro 7 2" xfId="583" xr:uid="{00000000-0005-0000-0000-0000BB000000}"/>
    <cellStyle name="Euro 8" xfId="115" xr:uid="{00000000-0005-0000-0000-0000BC000000}"/>
    <cellStyle name="Euro 8 2" xfId="584" xr:uid="{00000000-0005-0000-0000-0000BD000000}"/>
    <cellStyle name="Euro 9" xfId="116" xr:uid="{00000000-0005-0000-0000-0000BE000000}"/>
    <cellStyle name="Euro 9 2" xfId="585" xr:uid="{00000000-0005-0000-0000-0000BF000000}"/>
    <cellStyle name="Explanatory Text 2" xfId="586" xr:uid="{00000000-0005-0000-0000-0000C0000000}"/>
    <cellStyle name="Explanatory Text 3" xfId="587" xr:uid="{00000000-0005-0000-0000-0000C1000000}"/>
    <cellStyle name="Fixed" xfId="588" xr:uid="{00000000-0005-0000-0000-0000C2000000}"/>
    <cellStyle name="Good 2" xfId="589" xr:uid="{00000000-0005-0000-0000-0000C3000000}"/>
    <cellStyle name="Good 3" xfId="590" xr:uid="{00000000-0005-0000-0000-0000C4000000}"/>
    <cellStyle name="Good 4" xfId="591" xr:uid="{00000000-0005-0000-0000-0000C5000000}"/>
    <cellStyle name="Heading 1 2" xfId="592" xr:uid="{00000000-0005-0000-0000-0000C6000000}"/>
    <cellStyle name="Heading 1 3" xfId="593" xr:uid="{00000000-0005-0000-0000-0000C7000000}"/>
    <cellStyle name="Heading 2 2" xfId="594" xr:uid="{00000000-0005-0000-0000-0000C8000000}"/>
    <cellStyle name="Heading 2 3" xfId="595" xr:uid="{00000000-0005-0000-0000-0000C9000000}"/>
    <cellStyle name="Heading 3 2" xfId="596" xr:uid="{00000000-0005-0000-0000-0000CA000000}"/>
    <cellStyle name="Heading 3 3" xfId="597" xr:uid="{00000000-0005-0000-0000-0000CB000000}"/>
    <cellStyle name="Heading 4 2" xfId="598" xr:uid="{00000000-0005-0000-0000-0000CC000000}"/>
    <cellStyle name="Heading 4 3" xfId="599" xr:uid="{00000000-0005-0000-0000-0000CD000000}"/>
    <cellStyle name="Heading1" xfId="600" xr:uid="{00000000-0005-0000-0000-0000CE000000}"/>
    <cellStyle name="Heading2" xfId="601" xr:uid="{00000000-0005-0000-0000-0000CF000000}"/>
    <cellStyle name="Input 2" xfId="602" xr:uid="{00000000-0005-0000-0000-0000D0000000}"/>
    <cellStyle name="Input 3" xfId="603" xr:uid="{00000000-0005-0000-0000-0000D1000000}"/>
    <cellStyle name="Linked Cell 2" xfId="604" xr:uid="{00000000-0005-0000-0000-0000D2000000}"/>
    <cellStyle name="Linked Cell 3" xfId="605" xr:uid="{00000000-0005-0000-0000-0000D3000000}"/>
    <cellStyle name="Millares" xfId="606" xr:uid="{00000000-0005-0000-0000-0000D4000000}"/>
    <cellStyle name="Millares 2" xfId="117" xr:uid="{00000000-0005-0000-0000-0000D5000000}"/>
    <cellStyle name="Millares 2 10" xfId="118" xr:uid="{00000000-0005-0000-0000-0000D6000000}"/>
    <cellStyle name="Millares 2 10 2" xfId="607" xr:uid="{00000000-0005-0000-0000-0000D7000000}"/>
    <cellStyle name="Millares 2 11" xfId="119" xr:uid="{00000000-0005-0000-0000-0000D8000000}"/>
    <cellStyle name="Millares 2 11 2" xfId="608" xr:uid="{00000000-0005-0000-0000-0000D9000000}"/>
    <cellStyle name="Millares 2 12" xfId="120" xr:uid="{00000000-0005-0000-0000-0000DA000000}"/>
    <cellStyle name="Millares 2 12 2" xfId="609" xr:uid="{00000000-0005-0000-0000-0000DB000000}"/>
    <cellStyle name="Millares 2 13" xfId="121" xr:uid="{00000000-0005-0000-0000-0000DC000000}"/>
    <cellStyle name="Millares 2 13 2" xfId="610" xr:uid="{00000000-0005-0000-0000-0000DD000000}"/>
    <cellStyle name="Millares 2 14" xfId="122" xr:uid="{00000000-0005-0000-0000-0000DE000000}"/>
    <cellStyle name="Millares 2 14 2" xfId="611" xr:uid="{00000000-0005-0000-0000-0000DF000000}"/>
    <cellStyle name="Millares 2 15" xfId="123" xr:uid="{00000000-0005-0000-0000-0000E0000000}"/>
    <cellStyle name="Millares 2 15 2" xfId="612" xr:uid="{00000000-0005-0000-0000-0000E1000000}"/>
    <cellStyle name="Millares 2 16" xfId="124" xr:uid="{00000000-0005-0000-0000-0000E2000000}"/>
    <cellStyle name="Millares 2 16 2" xfId="613" xr:uid="{00000000-0005-0000-0000-0000E3000000}"/>
    <cellStyle name="Millares 2 17" xfId="125" xr:uid="{00000000-0005-0000-0000-0000E4000000}"/>
    <cellStyle name="Millares 2 17 2" xfId="614" xr:uid="{00000000-0005-0000-0000-0000E5000000}"/>
    <cellStyle name="Millares 2 18" xfId="615" xr:uid="{00000000-0005-0000-0000-0000E6000000}"/>
    <cellStyle name="Millares 2 2" xfId="126" xr:uid="{00000000-0005-0000-0000-0000E7000000}"/>
    <cellStyle name="Millares 2 2 2" xfId="616" xr:uid="{00000000-0005-0000-0000-0000E8000000}"/>
    <cellStyle name="Millares 2 3" xfId="127" xr:uid="{00000000-0005-0000-0000-0000E9000000}"/>
    <cellStyle name="Millares 2 3 2" xfId="617" xr:uid="{00000000-0005-0000-0000-0000EA000000}"/>
    <cellStyle name="Millares 2 4" xfId="128" xr:uid="{00000000-0005-0000-0000-0000EB000000}"/>
    <cellStyle name="Millares 2 4 2" xfId="618" xr:uid="{00000000-0005-0000-0000-0000EC000000}"/>
    <cellStyle name="Millares 2 5" xfId="129" xr:uid="{00000000-0005-0000-0000-0000ED000000}"/>
    <cellStyle name="Millares 2 5 2" xfId="619" xr:uid="{00000000-0005-0000-0000-0000EE000000}"/>
    <cellStyle name="Millares 2 6" xfId="130" xr:uid="{00000000-0005-0000-0000-0000EF000000}"/>
    <cellStyle name="Millares 2 6 2" xfId="620" xr:uid="{00000000-0005-0000-0000-0000F0000000}"/>
    <cellStyle name="Millares 2 7" xfId="131" xr:uid="{00000000-0005-0000-0000-0000F1000000}"/>
    <cellStyle name="Millares 2 7 2" xfId="621" xr:uid="{00000000-0005-0000-0000-0000F2000000}"/>
    <cellStyle name="Millares 2 8" xfId="132" xr:uid="{00000000-0005-0000-0000-0000F3000000}"/>
    <cellStyle name="Millares 2 8 2" xfId="622" xr:uid="{00000000-0005-0000-0000-0000F4000000}"/>
    <cellStyle name="Millares 2 9" xfId="133" xr:uid="{00000000-0005-0000-0000-0000F5000000}"/>
    <cellStyle name="Millares 2 9 2" xfId="623" xr:uid="{00000000-0005-0000-0000-0000F6000000}"/>
    <cellStyle name="Millares 3" xfId="134" xr:uid="{00000000-0005-0000-0000-0000F7000000}"/>
    <cellStyle name="Millares 3 2" xfId="624" xr:uid="{00000000-0005-0000-0000-0000F8000000}"/>
    <cellStyle name="Millares 4" xfId="625" xr:uid="{00000000-0005-0000-0000-0000F9000000}"/>
    <cellStyle name="Neutral 2" xfId="626" xr:uid="{00000000-0005-0000-0000-0000FA000000}"/>
    <cellStyle name="Neutral 3" xfId="627" xr:uid="{00000000-0005-0000-0000-0000FB000000}"/>
    <cellStyle name="Normal" xfId="0" builtinId="0" customBuiltin="1"/>
    <cellStyle name="Normal 10" xfId="3" xr:uid="{00000000-0005-0000-0000-0000FD000000}"/>
    <cellStyle name="Normal 10 10" xfId="725" xr:uid="{00000000-0005-0000-0000-0000FE000000}"/>
    <cellStyle name="Normal 10 11" xfId="726" xr:uid="{00000000-0005-0000-0000-0000FF000000}"/>
    <cellStyle name="Normal 10 2" xfId="727" xr:uid="{00000000-0005-0000-0000-000000010000}"/>
    <cellStyle name="Normal 10 3" xfId="728" xr:uid="{00000000-0005-0000-0000-000001010000}"/>
    <cellStyle name="Normal 10 4" xfId="729" xr:uid="{00000000-0005-0000-0000-000002010000}"/>
    <cellStyle name="Normal 10 5" xfId="730" xr:uid="{00000000-0005-0000-0000-000003010000}"/>
    <cellStyle name="Normal 10 6" xfId="731" xr:uid="{00000000-0005-0000-0000-000004010000}"/>
    <cellStyle name="Normal 10 7" xfId="732" xr:uid="{00000000-0005-0000-0000-000005010000}"/>
    <cellStyle name="Normal 10 8" xfId="733" xr:uid="{00000000-0005-0000-0000-000006010000}"/>
    <cellStyle name="Normal 10 9" xfId="734" xr:uid="{00000000-0005-0000-0000-000007010000}"/>
    <cellStyle name="Normal 11" xfId="4" xr:uid="{00000000-0005-0000-0000-000008010000}"/>
    <cellStyle name="Normal 11 10" xfId="735" xr:uid="{00000000-0005-0000-0000-000009010000}"/>
    <cellStyle name="Normal 11 11" xfId="736" xr:uid="{00000000-0005-0000-0000-00000A010000}"/>
    <cellStyle name="Normal 11 2" xfId="737" xr:uid="{00000000-0005-0000-0000-00000B010000}"/>
    <cellStyle name="Normal 11 3" xfId="738" xr:uid="{00000000-0005-0000-0000-00000C010000}"/>
    <cellStyle name="Normal 11 4" xfId="739" xr:uid="{00000000-0005-0000-0000-00000D010000}"/>
    <cellStyle name="Normal 11 5" xfId="740" xr:uid="{00000000-0005-0000-0000-00000E010000}"/>
    <cellStyle name="Normal 11 6" xfId="741" xr:uid="{00000000-0005-0000-0000-00000F010000}"/>
    <cellStyle name="Normal 11 7" xfId="742" xr:uid="{00000000-0005-0000-0000-000010010000}"/>
    <cellStyle name="Normal 11 8" xfId="743" xr:uid="{00000000-0005-0000-0000-000011010000}"/>
    <cellStyle name="Normal 11 9" xfId="744" xr:uid="{00000000-0005-0000-0000-000012010000}"/>
    <cellStyle name="Normal 12" xfId="5" xr:uid="{00000000-0005-0000-0000-000013010000}"/>
    <cellStyle name="Normal 13" xfId="6" xr:uid="{00000000-0005-0000-0000-000014010000}"/>
    <cellStyle name="Normal 14" xfId="7" xr:uid="{00000000-0005-0000-0000-000015010000}"/>
    <cellStyle name="Normal 15" xfId="8" xr:uid="{00000000-0005-0000-0000-000016010000}"/>
    <cellStyle name="Normal 16" xfId="9" xr:uid="{00000000-0005-0000-0000-000017010000}"/>
    <cellStyle name="Normal 17" xfId="10" xr:uid="{00000000-0005-0000-0000-000018010000}"/>
    <cellStyle name="Normal 18" xfId="11" xr:uid="{00000000-0005-0000-0000-000019010000}"/>
    <cellStyle name="Normal 19" xfId="12" xr:uid="{00000000-0005-0000-0000-00001A010000}"/>
    <cellStyle name="Normal 2" xfId="2" xr:uid="{00000000-0005-0000-0000-00001B010000}"/>
    <cellStyle name="Normal 2 10" xfId="45" xr:uid="{00000000-0005-0000-0000-00001C010000}"/>
    <cellStyle name="Normal 2 11" xfId="47" xr:uid="{00000000-0005-0000-0000-00001D010000}"/>
    <cellStyle name="Normal 2 12" xfId="221" xr:uid="{00000000-0005-0000-0000-00001E010000}"/>
    <cellStyle name="Normal 2 13" xfId="324" xr:uid="{00000000-0005-0000-0000-00001F010000}"/>
    <cellStyle name="Normal 2 14" xfId="331" xr:uid="{00000000-0005-0000-0000-000020010000}"/>
    <cellStyle name="Normal 2 15" xfId="338" xr:uid="{00000000-0005-0000-0000-000021010000}"/>
    <cellStyle name="Normal 2 16" xfId="344" xr:uid="{00000000-0005-0000-0000-000022010000}"/>
    <cellStyle name="Normal 2 17" xfId="357" xr:uid="{00000000-0005-0000-0000-000023010000}"/>
    <cellStyle name="Normal 2 18" xfId="226" xr:uid="{00000000-0005-0000-0000-000024010000}"/>
    <cellStyle name="Normal 2 19" xfId="365" xr:uid="{00000000-0005-0000-0000-000025010000}"/>
    <cellStyle name="Normal 2 2" xfId="13" xr:uid="{00000000-0005-0000-0000-000026010000}"/>
    <cellStyle name="Normal 2 2 2" xfId="135" xr:uid="{00000000-0005-0000-0000-000027010000}"/>
    <cellStyle name="Normal 2 2 2 2" xfId="136" xr:uid="{00000000-0005-0000-0000-000028010000}"/>
    <cellStyle name="Normal 2 2 2 2 2" xfId="628" xr:uid="{00000000-0005-0000-0000-000029010000}"/>
    <cellStyle name="Normal 2 2 2 3" xfId="629" xr:uid="{00000000-0005-0000-0000-00002A010000}"/>
    <cellStyle name="Normal 2 2 3" xfId="630" xr:uid="{00000000-0005-0000-0000-00002B010000}"/>
    <cellStyle name="Normal 2 2 4" xfId="745" xr:uid="{00000000-0005-0000-0000-00002C010000}"/>
    <cellStyle name="Normal 2 2 5" xfId="746" xr:uid="{00000000-0005-0000-0000-00002D010000}"/>
    <cellStyle name="Normal 2 2 6" xfId="747" xr:uid="{00000000-0005-0000-0000-00002E010000}"/>
    <cellStyle name="Normal 2 2 7" xfId="748" xr:uid="{00000000-0005-0000-0000-00002F010000}"/>
    <cellStyle name="Normal 2 2 8" xfId="749" xr:uid="{00000000-0005-0000-0000-000030010000}"/>
    <cellStyle name="Normal 2 2 9" xfId="750" xr:uid="{00000000-0005-0000-0000-000031010000}"/>
    <cellStyle name="Normal 2 20" xfId="374" xr:uid="{00000000-0005-0000-0000-000032010000}"/>
    <cellStyle name="Normal 2 21" xfId="351" xr:uid="{00000000-0005-0000-0000-000033010000}"/>
    <cellStyle name="Normal 2 22" xfId="382" xr:uid="{00000000-0005-0000-0000-000034010000}"/>
    <cellStyle name="Normal 2 23" xfId="388" xr:uid="{00000000-0005-0000-0000-000035010000}"/>
    <cellStyle name="Normal 2 24" xfId="395" xr:uid="{00000000-0005-0000-0000-000036010000}"/>
    <cellStyle name="Normal 2 25" xfId="401" xr:uid="{00000000-0005-0000-0000-000037010000}"/>
    <cellStyle name="Normal 2 26" xfId="407" xr:uid="{00000000-0005-0000-0000-000038010000}"/>
    <cellStyle name="Normal 2 27" xfId="414" xr:uid="{00000000-0005-0000-0000-000039010000}"/>
    <cellStyle name="Normal 2 28" xfId="421" xr:uid="{00000000-0005-0000-0000-00003A010000}"/>
    <cellStyle name="Normal 2 29" xfId="428" xr:uid="{00000000-0005-0000-0000-00003B010000}"/>
    <cellStyle name="Normal 2 3" xfId="31" xr:uid="{00000000-0005-0000-0000-00003C010000}"/>
    <cellStyle name="Normal 2 3 2" xfId="631" xr:uid="{00000000-0005-0000-0000-00003D010000}"/>
    <cellStyle name="Normal 2 30" xfId="434" xr:uid="{00000000-0005-0000-0000-00003E010000}"/>
    <cellStyle name="Normal 2 31" xfId="440" xr:uid="{00000000-0005-0000-0000-00003F010000}"/>
    <cellStyle name="Normal 2 32" xfId="446" xr:uid="{00000000-0005-0000-0000-000040010000}"/>
    <cellStyle name="Normal 2 33" xfId="451" xr:uid="{00000000-0005-0000-0000-000041010000}"/>
    <cellStyle name="Normal 2 34" xfId="455" xr:uid="{00000000-0005-0000-0000-000042010000}"/>
    <cellStyle name="Normal 2 35" xfId="459" xr:uid="{00000000-0005-0000-0000-000043010000}"/>
    <cellStyle name="Normal 2 4" xfId="36" xr:uid="{00000000-0005-0000-0000-000044010000}"/>
    <cellStyle name="Normal 2 5" xfId="37" xr:uid="{00000000-0005-0000-0000-000045010000}"/>
    <cellStyle name="Normal 2 6" xfId="35" xr:uid="{00000000-0005-0000-0000-000046010000}"/>
    <cellStyle name="Normal 2 7" xfId="38" xr:uid="{00000000-0005-0000-0000-000047010000}"/>
    <cellStyle name="Normal 2 8" xfId="27" xr:uid="{00000000-0005-0000-0000-000048010000}"/>
    <cellStyle name="Normal 2 9" xfId="39" xr:uid="{00000000-0005-0000-0000-000049010000}"/>
    <cellStyle name="Normal 2_ResMet" xfId="33" xr:uid="{00000000-0005-0000-0000-00004A010000}"/>
    <cellStyle name="Normal 20" xfId="14" xr:uid="{00000000-0005-0000-0000-00004B010000}"/>
    <cellStyle name="Normal 21" xfId="15" xr:uid="{00000000-0005-0000-0000-00004C010000}"/>
    <cellStyle name="Normal 22" xfId="16" xr:uid="{00000000-0005-0000-0000-00004D010000}"/>
    <cellStyle name="Normal 23" xfId="17" xr:uid="{00000000-0005-0000-0000-00004E010000}"/>
    <cellStyle name="Normal 24" xfId="18" xr:uid="{00000000-0005-0000-0000-00004F010000}"/>
    <cellStyle name="Normal 25" xfId="19" xr:uid="{00000000-0005-0000-0000-000050010000}"/>
    <cellStyle name="Normal 25 10" xfId="283" xr:uid="{00000000-0005-0000-0000-000051010000}"/>
    <cellStyle name="Normal 25 11" xfId="224" xr:uid="{00000000-0005-0000-0000-000052010000}"/>
    <cellStyle name="Normal 25 12" xfId="261" xr:uid="{00000000-0005-0000-0000-000053010000}"/>
    <cellStyle name="Normal 25 13" xfId="328" xr:uid="{00000000-0005-0000-0000-000054010000}"/>
    <cellStyle name="Normal 25 14" xfId="262" xr:uid="{00000000-0005-0000-0000-000055010000}"/>
    <cellStyle name="Normal 25 15" xfId="341" xr:uid="{00000000-0005-0000-0000-000056010000}"/>
    <cellStyle name="Normal 25 16" xfId="263" xr:uid="{00000000-0005-0000-0000-000057010000}"/>
    <cellStyle name="Normal 25 17" xfId="364" xr:uid="{00000000-0005-0000-0000-000058010000}"/>
    <cellStyle name="Normal 25 18" xfId="409" xr:uid="{00000000-0005-0000-0000-000059010000}"/>
    <cellStyle name="Normal 25 19" xfId="404" xr:uid="{00000000-0005-0000-0000-00005A010000}"/>
    <cellStyle name="Normal 25 2" xfId="137" xr:uid="{00000000-0005-0000-0000-00005B010000}"/>
    <cellStyle name="Normal 25 20" xfId="389" xr:uid="{00000000-0005-0000-0000-00005C010000}"/>
    <cellStyle name="Normal 25 21" xfId="408" xr:uid="{00000000-0005-0000-0000-00005D010000}"/>
    <cellStyle name="Normal 25 22" xfId="348" xr:uid="{00000000-0005-0000-0000-00005E010000}"/>
    <cellStyle name="Normal 25 23" xfId="273" xr:uid="{00000000-0005-0000-0000-00005F010000}"/>
    <cellStyle name="Normal 25 24" xfId="411" xr:uid="{00000000-0005-0000-0000-000060010000}"/>
    <cellStyle name="Normal 25 25" xfId="418" xr:uid="{00000000-0005-0000-0000-000061010000}"/>
    <cellStyle name="Normal 25 26" xfId="425" xr:uid="{00000000-0005-0000-0000-000062010000}"/>
    <cellStyle name="Normal 25 3" xfId="289" xr:uid="{00000000-0005-0000-0000-000063010000}"/>
    <cellStyle name="Normal 25 4" xfId="269" xr:uid="{00000000-0005-0000-0000-000064010000}"/>
    <cellStyle name="Normal 25 5" xfId="288" xr:uid="{00000000-0005-0000-0000-000065010000}"/>
    <cellStyle name="Normal 25 6" xfId="270" xr:uid="{00000000-0005-0000-0000-000066010000}"/>
    <cellStyle name="Normal 25 7" xfId="287" xr:uid="{00000000-0005-0000-0000-000067010000}"/>
    <cellStyle name="Normal 25 8" xfId="282" xr:uid="{00000000-0005-0000-0000-000068010000}"/>
    <cellStyle name="Normal 25 9" xfId="311" xr:uid="{00000000-0005-0000-0000-000069010000}"/>
    <cellStyle name="Normal 26" xfId="460" xr:uid="{00000000-0005-0000-0000-00006A010000}"/>
    <cellStyle name="Normal 27" xfId="32" xr:uid="{00000000-0005-0000-0000-00006B010000}"/>
    <cellStyle name="Normal 28" xfId="43" xr:uid="{00000000-0005-0000-0000-00006C010000}"/>
    <cellStyle name="Normal 29" xfId="807" xr:uid="{00000000-0005-0000-0000-00006D010000}"/>
    <cellStyle name="Normal 3" xfId="48" xr:uid="{00000000-0005-0000-0000-00006E010000}"/>
    <cellStyle name="Normal 3 10" xfId="46" xr:uid="{00000000-0005-0000-0000-00006F010000}"/>
    <cellStyle name="Normal 3 11" xfId="632" xr:uid="{00000000-0005-0000-0000-000070010000}"/>
    <cellStyle name="Normal 3 12" xfId="633" xr:uid="{00000000-0005-0000-0000-000071010000}"/>
    <cellStyle name="Normal 3 13" xfId="634" xr:uid="{00000000-0005-0000-0000-000072010000}"/>
    <cellStyle name="Normal 3 14" xfId="635" xr:uid="{00000000-0005-0000-0000-000073010000}"/>
    <cellStyle name="Normal 3 15" xfId="636" xr:uid="{00000000-0005-0000-0000-000074010000}"/>
    <cellStyle name="Normal 3 16" xfId="637" xr:uid="{00000000-0005-0000-0000-000075010000}"/>
    <cellStyle name="Normal 3 17" xfId="638" xr:uid="{00000000-0005-0000-0000-000076010000}"/>
    <cellStyle name="Normal 3 18" xfId="639" xr:uid="{00000000-0005-0000-0000-000077010000}"/>
    <cellStyle name="Normal 3 19" xfId="640" xr:uid="{00000000-0005-0000-0000-000078010000}"/>
    <cellStyle name="Normal 3 2" xfId="20" xr:uid="{00000000-0005-0000-0000-000079010000}"/>
    <cellStyle name="Normal 3 2 10" xfId="361" xr:uid="{00000000-0005-0000-0000-00007A010000}"/>
    <cellStyle name="Normal 3 2 11" xfId="370" xr:uid="{00000000-0005-0000-0000-00007B010000}"/>
    <cellStyle name="Normal 3 2 12" xfId="347" xr:uid="{00000000-0005-0000-0000-00007C010000}"/>
    <cellStyle name="Normal 3 2 13" xfId="378" xr:uid="{00000000-0005-0000-0000-00007D010000}"/>
    <cellStyle name="Normal 3 2 14" xfId="384" xr:uid="{00000000-0005-0000-0000-00007E010000}"/>
    <cellStyle name="Normal 3 2 15" xfId="391" xr:uid="{00000000-0005-0000-0000-00007F010000}"/>
    <cellStyle name="Normal 3 2 16" xfId="398" xr:uid="{00000000-0005-0000-0000-000080010000}"/>
    <cellStyle name="Normal 3 2 17" xfId="403" xr:uid="{00000000-0005-0000-0000-000081010000}"/>
    <cellStyle name="Normal 3 2 18" xfId="410" xr:uid="{00000000-0005-0000-0000-000082010000}"/>
    <cellStyle name="Normal 3 2 19" xfId="417" xr:uid="{00000000-0005-0000-0000-000083010000}"/>
    <cellStyle name="Normal 3 2 2" xfId="50" xr:uid="{00000000-0005-0000-0000-000084010000}"/>
    <cellStyle name="Normal 3 2 2 2" xfId="641" xr:uid="{00000000-0005-0000-0000-000085010000}"/>
    <cellStyle name="Normal 3 2 2 2 2" xfId="642" xr:uid="{00000000-0005-0000-0000-000086010000}"/>
    <cellStyle name="Normal 3 2 2 3" xfId="806" xr:uid="{00000000-0005-0000-0000-000087010000}"/>
    <cellStyle name="Normal 3 2 20" xfId="424" xr:uid="{00000000-0005-0000-0000-000088010000}"/>
    <cellStyle name="Normal 3 2 21" xfId="431" xr:uid="{00000000-0005-0000-0000-000089010000}"/>
    <cellStyle name="Normal 3 2 22" xfId="437" xr:uid="{00000000-0005-0000-0000-00008A010000}"/>
    <cellStyle name="Normal 3 2 23" xfId="443" xr:uid="{00000000-0005-0000-0000-00008B010000}"/>
    <cellStyle name="Normal 3 2 24" xfId="448" xr:uid="{00000000-0005-0000-0000-00008C010000}"/>
    <cellStyle name="Normal 3 2 25" xfId="453" xr:uid="{00000000-0005-0000-0000-00008D010000}"/>
    <cellStyle name="Normal 3 2 26" xfId="457" xr:uid="{00000000-0005-0000-0000-00008E010000}"/>
    <cellStyle name="Normal 3 2 3" xfId="225" xr:uid="{00000000-0005-0000-0000-00008F010000}"/>
    <cellStyle name="Normal 3 2 4" xfId="320" xr:uid="{00000000-0005-0000-0000-000090010000}"/>
    <cellStyle name="Normal 3 2 5" xfId="327" xr:uid="{00000000-0005-0000-0000-000091010000}"/>
    <cellStyle name="Normal 3 2 6" xfId="334" xr:uid="{00000000-0005-0000-0000-000092010000}"/>
    <cellStyle name="Normal 3 2 7" xfId="340" xr:uid="{00000000-0005-0000-0000-000093010000}"/>
    <cellStyle name="Normal 3 2 8" xfId="353" xr:uid="{00000000-0005-0000-0000-000094010000}"/>
    <cellStyle name="Normal 3 2 9" xfId="229" xr:uid="{00000000-0005-0000-0000-000095010000}"/>
    <cellStyle name="Normal 3 20" xfId="643" xr:uid="{00000000-0005-0000-0000-000096010000}"/>
    <cellStyle name="Normal 3 21" xfId="644" xr:uid="{00000000-0005-0000-0000-000097010000}"/>
    <cellStyle name="Normal 3 3" xfId="34" xr:uid="{00000000-0005-0000-0000-000098010000}"/>
    <cellStyle name="Normal 3 3 10" xfId="285" xr:uid="{00000000-0005-0000-0000-000099010000}"/>
    <cellStyle name="Normal 3 3 11" xfId="332" xr:uid="{00000000-0005-0000-0000-00009A010000}"/>
    <cellStyle name="Normal 3 3 12" xfId="260" xr:uid="{00000000-0005-0000-0000-00009B010000}"/>
    <cellStyle name="Normal 3 3 13" xfId="345" xr:uid="{00000000-0005-0000-0000-00009C010000}"/>
    <cellStyle name="Normal 3 3 14" xfId="337" xr:uid="{00000000-0005-0000-0000-00009D010000}"/>
    <cellStyle name="Normal 3 3 15" xfId="375" xr:uid="{00000000-0005-0000-0000-00009E010000}"/>
    <cellStyle name="Normal 3 3 16" xfId="352" xr:uid="{00000000-0005-0000-0000-00009F010000}"/>
    <cellStyle name="Normal 3 3 17" xfId="376" xr:uid="{00000000-0005-0000-0000-0000A0010000}"/>
    <cellStyle name="Normal 3 3 18" xfId="400" xr:uid="{00000000-0005-0000-0000-0000A1010000}"/>
    <cellStyle name="Normal 3 3 19" xfId="275" xr:uid="{00000000-0005-0000-0000-0000A2010000}"/>
    <cellStyle name="Normal 3 3 2" xfId="138" xr:uid="{00000000-0005-0000-0000-0000A3010000}"/>
    <cellStyle name="Normal 3 3 20" xfId="385" xr:uid="{00000000-0005-0000-0000-0000A4010000}"/>
    <cellStyle name="Normal 3 3 21" xfId="272" xr:uid="{00000000-0005-0000-0000-0000A5010000}"/>
    <cellStyle name="Normal 3 3 22" xfId="415" xr:uid="{00000000-0005-0000-0000-0000A6010000}"/>
    <cellStyle name="Normal 3 3 23" xfId="422" xr:uid="{00000000-0005-0000-0000-0000A7010000}"/>
    <cellStyle name="Normal 3 3 24" xfId="429" xr:uid="{00000000-0005-0000-0000-0000A8010000}"/>
    <cellStyle name="Normal 3 3 25" xfId="435" xr:uid="{00000000-0005-0000-0000-0000A9010000}"/>
    <cellStyle name="Normal 3 3 26" xfId="441" xr:uid="{00000000-0005-0000-0000-0000AA010000}"/>
    <cellStyle name="Normal 3 3 3" xfId="290" xr:uid="{00000000-0005-0000-0000-0000AB010000}"/>
    <cellStyle name="Normal 3 3 4" xfId="268" xr:uid="{00000000-0005-0000-0000-0000AC010000}"/>
    <cellStyle name="Normal 3 3 5" xfId="286" xr:uid="{00000000-0005-0000-0000-0000AD010000}"/>
    <cellStyle name="Normal 3 3 6" xfId="271" xr:uid="{00000000-0005-0000-0000-0000AE010000}"/>
    <cellStyle name="Normal 3 3 7" xfId="220" xr:uid="{00000000-0005-0000-0000-0000AF010000}"/>
    <cellStyle name="Normal 3 3 8" xfId="281" xr:uid="{00000000-0005-0000-0000-0000B0010000}"/>
    <cellStyle name="Normal 3 3 9" xfId="312" xr:uid="{00000000-0005-0000-0000-0000B1010000}"/>
    <cellStyle name="Normal 3 4" xfId="40" xr:uid="{00000000-0005-0000-0000-0000B2010000}"/>
    <cellStyle name="Normal 3 4 10" xfId="360" xr:uid="{00000000-0005-0000-0000-0000B3010000}"/>
    <cellStyle name="Normal 3 4 11" xfId="359" xr:uid="{00000000-0005-0000-0000-0000B4010000}"/>
    <cellStyle name="Normal 3 4 12" xfId="259" xr:uid="{00000000-0005-0000-0000-0000B5010000}"/>
    <cellStyle name="Normal 3 4 13" xfId="377" xr:uid="{00000000-0005-0000-0000-0000B6010000}"/>
    <cellStyle name="Normal 3 4 14" xfId="383" xr:uid="{00000000-0005-0000-0000-0000B7010000}"/>
    <cellStyle name="Normal 3 4 15" xfId="390" xr:uid="{00000000-0005-0000-0000-0000B8010000}"/>
    <cellStyle name="Normal 3 4 16" xfId="397" xr:uid="{00000000-0005-0000-0000-0000B9010000}"/>
    <cellStyle name="Normal 3 4 17" xfId="358" xr:uid="{00000000-0005-0000-0000-0000BA010000}"/>
    <cellStyle name="Normal 3 4 18" xfId="252" xr:uid="{00000000-0005-0000-0000-0000BB010000}"/>
    <cellStyle name="Normal 3 4 19" xfId="276" xr:uid="{00000000-0005-0000-0000-0000BC010000}"/>
    <cellStyle name="Normal 3 4 2" xfId="139" xr:uid="{00000000-0005-0000-0000-0000BD010000}"/>
    <cellStyle name="Normal 3 4 20" xfId="423" xr:uid="{00000000-0005-0000-0000-0000BE010000}"/>
    <cellStyle name="Normal 3 4 21" xfId="430" xr:uid="{00000000-0005-0000-0000-0000BF010000}"/>
    <cellStyle name="Normal 3 4 22" xfId="436" xr:uid="{00000000-0005-0000-0000-0000C0010000}"/>
    <cellStyle name="Normal 3 4 23" xfId="442" xr:uid="{00000000-0005-0000-0000-0000C1010000}"/>
    <cellStyle name="Normal 3 4 24" xfId="447" xr:uid="{00000000-0005-0000-0000-0000C2010000}"/>
    <cellStyle name="Normal 3 4 25" xfId="452" xr:uid="{00000000-0005-0000-0000-0000C3010000}"/>
    <cellStyle name="Normal 3 4 26" xfId="456" xr:uid="{00000000-0005-0000-0000-0000C4010000}"/>
    <cellStyle name="Normal 3 4 3" xfId="291" xr:uid="{00000000-0005-0000-0000-0000C5010000}"/>
    <cellStyle name="Normal 3 4 4" xfId="267" xr:uid="{00000000-0005-0000-0000-0000C6010000}"/>
    <cellStyle name="Normal 3 4 5" xfId="326" xr:uid="{00000000-0005-0000-0000-0000C7010000}"/>
    <cellStyle name="Normal 3 4 6" xfId="333" xr:uid="{00000000-0005-0000-0000-0000C8010000}"/>
    <cellStyle name="Normal 3 4 7" xfId="339" xr:uid="{00000000-0005-0000-0000-0000C9010000}"/>
    <cellStyle name="Normal 3 4 8" xfId="280" xr:uid="{00000000-0005-0000-0000-0000CA010000}"/>
    <cellStyle name="Normal 3 4 9" xfId="313" xr:uid="{00000000-0005-0000-0000-0000CB010000}"/>
    <cellStyle name="Normal 3 5" xfId="28" xr:uid="{00000000-0005-0000-0000-0000CC010000}"/>
    <cellStyle name="Normal 3 5 10" xfId="356" xr:uid="{00000000-0005-0000-0000-0000CD010000}"/>
    <cellStyle name="Normal 3 5 11" xfId="343" xr:uid="{00000000-0005-0000-0000-0000CE010000}"/>
    <cellStyle name="Normal 3 5 12" xfId="258" xr:uid="{00000000-0005-0000-0000-0000CF010000}"/>
    <cellStyle name="Normal 3 5 13" xfId="373" xr:uid="{00000000-0005-0000-0000-0000D0010000}"/>
    <cellStyle name="Normal 3 5 14" xfId="350" xr:uid="{00000000-0005-0000-0000-0000D1010000}"/>
    <cellStyle name="Normal 3 5 15" xfId="381" xr:uid="{00000000-0005-0000-0000-0000D2010000}"/>
    <cellStyle name="Normal 3 5 16" xfId="387" xr:uid="{00000000-0005-0000-0000-0000D3010000}"/>
    <cellStyle name="Normal 3 5 17" xfId="284" xr:uid="{00000000-0005-0000-0000-0000D4010000}"/>
    <cellStyle name="Normal 3 5 18" xfId="249" xr:uid="{00000000-0005-0000-0000-0000D5010000}"/>
    <cellStyle name="Normal 3 5 19" xfId="274" xr:uid="{00000000-0005-0000-0000-0000D6010000}"/>
    <cellStyle name="Normal 3 5 2" xfId="140" xr:uid="{00000000-0005-0000-0000-0000D7010000}"/>
    <cellStyle name="Normal 3 5 20" xfId="413" xr:uid="{00000000-0005-0000-0000-0000D8010000}"/>
    <cellStyle name="Normal 3 5 21" xfId="420" xr:uid="{00000000-0005-0000-0000-0000D9010000}"/>
    <cellStyle name="Normal 3 5 22" xfId="427" xr:uid="{00000000-0005-0000-0000-0000DA010000}"/>
    <cellStyle name="Normal 3 5 23" xfId="433" xr:uid="{00000000-0005-0000-0000-0000DB010000}"/>
    <cellStyle name="Normal 3 5 24" xfId="439" xr:uid="{00000000-0005-0000-0000-0000DC010000}"/>
    <cellStyle name="Normal 3 5 25" xfId="445" xr:uid="{00000000-0005-0000-0000-0000DD010000}"/>
    <cellStyle name="Normal 3 5 26" xfId="450" xr:uid="{00000000-0005-0000-0000-0000DE010000}"/>
    <cellStyle name="Normal 3 5 3" xfId="292" xr:uid="{00000000-0005-0000-0000-0000DF010000}"/>
    <cellStyle name="Normal 3 5 4" xfId="266" xr:uid="{00000000-0005-0000-0000-0000E0010000}"/>
    <cellStyle name="Normal 3 5 5" xfId="222" xr:uid="{00000000-0005-0000-0000-0000E1010000}"/>
    <cellStyle name="Normal 3 5 6" xfId="323" xr:uid="{00000000-0005-0000-0000-0000E2010000}"/>
    <cellStyle name="Normal 3 5 7" xfId="330" xr:uid="{00000000-0005-0000-0000-0000E3010000}"/>
    <cellStyle name="Normal 3 5 8" xfId="279" xr:uid="{00000000-0005-0000-0000-0000E4010000}"/>
    <cellStyle name="Normal 3 5 9" xfId="314" xr:uid="{00000000-0005-0000-0000-0000E5010000}"/>
    <cellStyle name="Normal 3 6" xfId="41" xr:uid="{00000000-0005-0000-0000-0000E6010000}"/>
    <cellStyle name="Normal 3 6 10" xfId="277" xr:uid="{00000000-0005-0000-0000-0000E7010000}"/>
    <cellStyle name="Normal 3 6 11" xfId="296" xr:uid="{00000000-0005-0000-0000-0000E8010000}"/>
    <cellStyle name="Normal 3 6 12" xfId="257" xr:uid="{00000000-0005-0000-0000-0000E9010000}"/>
    <cellStyle name="Normal 3 6 13" xfId="297" xr:uid="{00000000-0005-0000-0000-0000EA010000}"/>
    <cellStyle name="Normal 3 6 14" xfId="256" xr:uid="{00000000-0005-0000-0000-0000EB010000}"/>
    <cellStyle name="Normal 3 6 15" xfId="298" xr:uid="{00000000-0005-0000-0000-0000EC010000}"/>
    <cellStyle name="Normal 3 6 16" xfId="255" xr:uid="{00000000-0005-0000-0000-0000ED010000}"/>
    <cellStyle name="Normal 3 6 17" xfId="354" xr:uid="{00000000-0005-0000-0000-0000EE010000}"/>
    <cellStyle name="Normal 3 6 18" xfId="248" xr:uid="{00000000-0005-0000-0000-0000EF010000}"/>
    <cellStyle name="Normal 3 6 19" xfId="416" xr:uid="{00000000-0005-0000-0000-0000F0010000}"/>
    <cellStyle name="Normal 3 6 2" xfId="141" xr:uid="{00000000-0005-0000-0000-0000F1010000}"/>
    <cellStyle name="Normal 3 6 20" xfId="247" xr:uid="{00000000-0005-0000-0000-0000F2010000}"/>
    <cellStyle name="Normal 3 6 21" xfId="406" xr:uid="{00000000-0005-0000-0000-0000F3010000}"/>
    <cellStyle name="Normal 3 6 22" xfId="246" xr:uid="{00000000-0005-0000-0000-0000F4010000}"/>
    <cellStyle name="Normal 3 6 23" xfId="362" xr:uid="{00000000-0005-0000-0000-0000F5010000}"/>
    <cellStyle name="Normal 3 6 24" xfId="245" xr:uid="{00000000-0005-0000-0000-0000F6010000}"/>
    <cellStyle name="Normal 3 6 25" xfId="366" xr:uid="{00000000-0005-0000-0000-0000F7010000}"/>
    <cellStyle name="Normal 3 6 26" xfId="244" xr:uid="{00000000-0005-0000-0000-0000F8010000}"/>
    <cellStyle name="Normal 3 6 3" xfId="293" xr:uid="{00000000-0005-0000-0000-0000F9010000}"/>
    <cellStyle name="Normal 3 6 4" xfId="265" xr:uid="{00000000-0005-0000-0000-0000FA010000}"/>
    <cellStyle name="Normal 3 6 5" xfId="294" xr:uid="{00000000-0005-0000-0000-0000FB010000}"/>
    <cellStyle name="Normal 3 6 6" xfId="264" xr:uid="{00000000-0005-0000-0000-0000FC010000}"/>
    <cellStyle name="Normal 3 6 7" xfId="295" xr:uid="{00000000-0005-0000-0000-0000FD010000}"/>
    <cellStyle name="Normal 3 6 8" xfId="278" xr:uid="{00000000-0005-0000-0000-0000FE010000}"/>
    <cellStyle name="Normal 3 6 9" xfId="315" xr:uid="{00000000-0005-0000-0000-0000FF010000}"/>
    <cellStyle name="Normal 3 7" xfId="29" xr:uid="{00000000-0005-0000-0000-000000020000}"/>
    <cellStyle name="Normal 3 8" xfId="42" xr:uid="{00000000-0005-0000-0000-000001020000}"/>
    <cellStyle name="Normal 3 9" xfId="30" xr:uid="{00000000-0005-0000-0000-000002020000}"/>
    <cellStyle name="Normal 33" xfId="44" xr:uid="{00000000-0005-0000-0000-000003020000}"/>
    <cellStyle name="Normal 4" xfId="21" xr:uid="{00000000-0005-0000-0000-000004020000}"/>
    <cellStyle name="Normal 4 10" xfId="142" xr:uid="{00000000-0005-0000-0000-000005020000}"/>
    <cellStyle name="Normal 4 10 2" xfId="645" xr:uid="{00000000-0005-0000-0000-000006020000}"/>
    <cellStyle name="Normal 4 11" xfId="143" xr:uid="{00000000-0005-0000-0000-000007020000}"/>
    <cellStyle name="Normal 4 11 2" xfId="646" xr:uid="{00000000-0005-0000-0000-000008020000}"/>
    <cellStyle name="Normal 4 12" xfId="144" xr:uid="{00000000-0005-0000-0000-000009020000}"/>
    <cellStyle name="Normal 4 12 2" xfId="647" xr:uid="{00000000-0005-0000-0000-00000A020000}"/>
    <cellStyle name="Normal 4 13" xfId="145" xr:uid="{00000000-0005-0000-0000-00000B020000}"/>
    <cellStyle name="Normal 4 13 2" xfId="648" xr:uid="{00000000-0005-0000-0000-00000C020000}"/>
    <cellStyle name="Normal 4 14" xfId="146" xr:uid="{00000000-0005-0000-0000-00000D020000}"/>
    <cellStyle name="Normal 4 14 2" xfId="649" xr:uid="{00000000-0005-0000-0000-00000E020000}"/>
    <cellStyle name="Normal 4 15" xfId="147" xr:uid="{00000000-0005-0000-0000-00000F020000}"/>
    <cellStyle name="Normal 4 15 2" xfId="650" xr:uid="{00000000-0005-0000-0000-000010020000}"/>
    <cellStyle name="Normal 4 16" xfId="148" xr:uid="{00000000-0005-0000-0000-000011020000}"/>
    <cellStyle name="Normal 4 16 2" xfId="651" xr:uid="{00000000-0005-0000-0000-000012020000}"/>
    <cellStyle name="Normal 4 17" xfId="149" xr:uid="{00000000-0005-0000-0000-000013020000}"/>
    <cellStyle name="Normal 4 17 2" xfId="652" xr:uid="{00000000-0005-0000-0000-000014020000}"/>
    <cellStyle name="Normal 4 18" xfId="150" xr:uid="{00000000-0005-0000-0000-000015020000}"/>
    <cellStyle name="Normal 4 18 2" xfId="653" xr:uid="{00000000-0005-0000-0000-000016020000}"/>
    <cellStyle name="Normal 4 19" xfId="151" xr:uid="{00000000-0005-0000-0000-000017020000}"/>
    <cellStyle name="Normal 4 19 2" xfId="654" xr:uid="{00000000-0005-0000-0000-000018020000}"/>
    <cellStyle name="Normal 4 2" xfId="49" xr:uid="{00000000-0005-0000-0000-000019020000}"/>
    <cellStyle name="Normal 4 2 10" xfId="251" xr:uid="{00000000-0005-0000-0000-00001A020000}"/>
    <cellStyle name="Normal 4 2 11" xfId="307" xr:uid="{00000000-0005-0000-0000-00001B020000}"/>
    <cellStyle name="Normal 4 2 12" xfId="335" xr:uid="{00000000-0005-0000-0000-00001C020000}"/>
    <cellStyle name="Normal 4 2 13" xfId="318" xr:uid="{00000000-0005-0000-0000-00001D020000}"/>
    <cellStyle name="Normal 4 2 14" xfId="325" xr:uid="{00000000-0005-0000-0000-00001E020000}"/>
    <cellStyle name="Normal 4 2 15" xfId="228" xr:uid="{00000000-0005-0000-0000-00001F020000}"/>
    <cellStyle name="Normal 4 2 16" xfId="243" xr:uid="{00000000-0005-0000-0000-000020020000}"/>
    <cellStyle name="Normal 4 2 17" xfId="309" xr:uid="{00000000-0005-0000-0000-000021020000}"/>
    <cellStyle name="Normal 4 2 18" xfId="241" xr:uid="{00000000-0005-0000-0000-000022020000}"/>
    <cellStyle name="Normal 4 2 19" xfId="316" xr:uid="{00000000-0005-0000-0000-000023020000}"/>
    <cellStyle name="Normal 4 2 2" xfId="152" xr:uid="{00000000-0005-0000-0000-000024020000}"/>
    <cellStyle name="Normal 4 2 2 10" xfId="346" xr:uid="{00000000-0005-0000-0000-000025020000}"/>
    <cellStyle name="Normal 4 2 2 11" xfId="310" xr:uid="{00000000-0005-0000-0000-000026020000}"/>
    <cellStyle name="Normal 4 2 2 12" xfId="242" xr:uid="{00000000-0005-0000-0000-000027020000}"/>
    <cellStyle name="Normal 4 2 2 13" xfId="367" xr:uid="{00000000-0005-0000-0000-000028020000}"/>
    <cellStyle name="Normal 4 2 2 14" xfId="240" xr:uid="{00000000-0005-0000-0000-000029020000}"/>
    <cellStyle name="Normal 4 2 2 15" xfId="317" xr:uid="{00000000-0005-0000-0000-00002A020000}"/>
    <cellStyle name="Normal 4 2 2 16" xfId="238" xr:uid="{00000000-0005-0000-0000-00002B020000}"/>
    <cellStyle name="Normal 4 2 2 17" xfId="379" xr:uid="{00000000-0005-0000-0000-00002C020000}"/>
    <cellStyle name="Normal 4 2 2 18" xfId="236" xr:uid="{00000000-0005-0000-0000-00002D020000}"/>
    <cellStyle name="Normal 4 2 2 19" xfId="371" xr:uid="{00000000-0005-0000-0000-00002E020000}"/>
    <cellStyle name="Normal 4 2 2 2" xfId="153" xr:uid="{00000000-0005-0000-0000-00002F020000}"/>
    <cellStyle name="Normal 4 2 2 20" xfId="234" xr:uid="{00000000-0005-0000-0000-000030020000}"/>
    <cellStyle name="Normal 4 2 2 21" xfId="394" xr:uid="{00000000-0005-0000-0000-000031020000}"/>
    <cellStyle name="Normal 4 2 2 22" xfId="232" xr:uid="{00000000-0005-0000-0000-000032020000}"/>
    <cellStyle name="Normal 4 2 2 23" xfId="300" xr:uid="{00000000-0005-0000-0000-000033020000}"/>
    <cellStyle name="Normal 4 2 2 24" xfId="230" xr:uid="{00000000-0005-0000-0000-000034020000}"/>
    <cellStyle name="Normal 4 2 2 25" xfId="304" xr:uid="{00000000-0005-0000-0000-000035020000}"/>
    <cellStyle name="Normal 4 2 2 26" xfId="369" xr:uid="{00000000-0005-0000-0000-000036020000}"/>
    <cellStyle name="Normal 4 2 2 3" xfId="303" xr:uid="{00000000-0005-0000-0000-000037020000}"/>
    <cellStyle name="Normal 4 2 2 4" xfId="253" xr:uid="{00000000-0005-0000-0000-000038020000}"/>
    <cellStyle name="Normal 4 2 2 5" xfId="306" xr:uid="{00000000-0005-0000-0000-000039020000}"/>
    <cellStyle name="Normal 4 2 2 6" xfId="250" xr:uid="{00000000-0005-0000-0000-00003A020000}"/>
    <cellStyle name="Normal 4 2 2 7" xfId="308" xr:uid="{00000000-0005-0000-0000-00003B020000}"/>
    <cellStyle name="Normal 4 2 2 8" xfId="321" xr:uid="{00000000-0005-0000-0000-00003C020000}"/>
    <cellStyle name="Normal 4 2 2 9" xfId="319" xr:uid="{00000000-0005-0000-0000-00003D020000}"/>
    <cellStyle name="Normal 4 2 20" xfId="239" xr:uid="{00000000-0005-0000-0000-00003E020000}"/>
    <cellStyle name="Normal 4 2 21" xfId="392" xr:uid="{00000000-0005-0000-0000-00003F020000}"/>
    <cellStyle name="Normal 4 2 22" xfId="237" xr:uid="{00000000-0005-0000-0000-000040020000}"/>
    <cellStyle name="Normal 4 2 23" xfId="396" xr:uid="{00000000-0005-0000-0000-000041020000}"/>
    <cellStyle name="Normal 4 2 24" xfId="235" xr:uid="{00000000-0005-0000-0000-000042020000}"/>
    <cellStyle name="Normal 4 2 25" xfId="402" xr:uid="{00000000-0005-0000-0000-000043020000}"/>
    <cellStyle name="Normal 4 2 26" xfId="233" xr:uid="{00000000-0005-0000-0000-000044020000}"/>
    <cellStyle name="Normal 4 2 27" xfId="299" xr:uid="{00000000-0005-0000-0000-000045020000}"/>
    <cellStyle name="Normal 4 2 28" xfId="231" xr:uid="{00000000-0005-0000-0000-000046020000}"/>
    <cellStyle name="Normal 4 2 29" xfId="301" xr:uid="{00000000-0005-0000-0000-000047020000}"/>
    <cellStyle name="Normal 4 2 3" xfId="154" xr:uid="{00000000-0005-0000-0000-000048020000}"/>
    <cellStyle name="Normal 4 2 30" xfId="368" xr:uid="{00000000-0005-0000-0000-000049020000}"/>
    <cellStyle name="Normal 4 2 4" xfId="155" xr:uid="{00000000-0005-0000-0000-00004A020000}"/>
    <cellStyle name="Normal 4 2 5" xfId="156" xr:uid="{00000000-0005-0000-0000-00004B020000}"/>
    <cellStyle name="Normal 4 2 6" xfId="157" xr:uid="{00000000-0005-0000-0000-00004C020000}"/>
    <cellStyle name="Normal 4 2 7" xfId="302" xr:uid="{00000000-0005-0000-0000-00004D020000}"/>
    <cellStyle name="Normal 4 2 8" xfId="254" xr:uid="{00000000-0005-0000-0000-00004E020000}"/>
    <cellStyle name="Normal 4 2 9" xfId="305" xr:uid="{00000000-0005-0000-0000-00004F020000}"/>
    <cellStyle name="Normal 4 20" xfId="158" xr:uid="{00000000-0005-0000-0000-000050020000}"/>
    <cellStyle name="Normal 4 20 2" xfId="655" xr:uid="{00000000-0005-0000-0000-000051020000}"/>
    <cellStyle name="Normal 4 21" xfId="159" xr:uid="{00000000-0005-0000-0000-000052020000}"/>
    <cellStyle name="Normal 4 21 2" xfId="656" xr:uid="{00000000-0005-0000-0000-000053020000}"/>
    <cellStyle name="Normal 4 22" xfId="160" xr:uid="{00000000-0005-0000-0000-000054020000}"/>
    <cellStyle name="Normal 4 22 2" xfId="657" xr:uid="{00000000-0005-0000-0000-000055020000}"/>
    <cellStyle name="Normal 4 23" xfId="161" xr:uid="{00000000-0005-0000-0000-000056020000}"/>
    <cellStyle name="Normal 4 23 2" xfId="658" xr:uid="{00000000-0005-0000-0000-000057020000}"/>
    <cellStyle name="Normal 4 24" xfId="162" xr:uid="{00000000-0005-0000-0000-000058020000}"/>
    <cellStyle name="Normal 4 24 2" xfId="659" xr:uid="{00000000-0005-0000-0000-000059020000}"/>
    <cellStyle name="Normal 4 25" xfId="163" xr:uid="{00000000-0005-0000-0000-00005A020000}"/>
    <cellStyle name="Normal 4 25 2" xfId="660" xr:uid="{00000000-0005-0000-0000-00005B020000}"/>
    <cellStyle name="Normal 4 26" xfId="164" xr:uid="{00000000-0005-0000-0000-00005C020000}"/>
    <cellStyle name="Normal 4 26 2" xfId="661" xr:uid="{00000000-0005-0000-0000-00005D020000}"/>
    <cellStyle name="Normal 4 27" xfId="165" xr:uid="{00000000-0005-0000-0000-00005E020000}"/>
    <cellStyle name="Normal 4 27 2" xfId="662" xr:uid="{00000000-0005-0000-0000-00005F020000}"/>
    <cellStyle name="Normal 4 28" xfId="166" xr:uid="{00000000-0005-0000-0000-000060020000}"/>
    <cellStyle name="Normal 4 29" xfId="167" xr:uid="{00000000-0005-0000-0000-000061020000}"/>
    <cellStyle name="Normal 4 3" xfId="168" xr:uid="{00000000-0005-0000-0000-000062020000}"/>
    <cellStyle name="Normal 4 3 2" xfId="663" xr:uid="{00000000-0005-0000-0000-000063020000}"/>
    <cellStyle name="Normal 4 30" xfId="169" xr:uid="{00000000-0005-0000-0000-000064020000}"/>
    <cellStyle name="Normal 4 31" xfId="170" xr:uid="{00000000-0005-0000-0000-000065020000}"/>
    <cellStyle name="Normal 4 32" xfId="223" xr:uid="{00000000-0005-0000-0000-000066020000}"/>
    <cellStyle name="Normal 4 33" xfId="322" xr:uid="{00000000-0005-0000-0000-000067020000}"/>
    <cellStyle name="Normal 4 34" xfId="329" xr:uid="{00000000-0005-0000-0000-000068020000}"/>
    <cellStyle name="Normal 4 35" xfId="336" xr:uid="{00000000-0005-0000-0000-000069020000}"/>
    <cellStyle name="Normal 4 36" xfId="342" xr:uid="{00000000-0005-0000-0000-00006A020000}"/>
    <cellStyle name="Normal 4 37" xfId="355" xr:uid="{00000000-0005-0000-0000-00006B020000}"/>
    <cellStyle name="Normal 4 38" xfId="227" xr:uid="{00000000-0005-0000-0000-00006C020000}"/>
    <cellStyle name="Normal 4 39" xfId="363" xr:uid="{00000000-0005-0000-0000-00006D020000}"/>
    <cellStyle name="Normal 4 4" xfId="171" xr:uid="{00000000-0005-0000-0000-00006E020000}"/>
    <cellStyle name="Normal 4 4 2" xfId="664" xr:uid="{00000000-0005-0000-0000-00006F020000}"/>
    <cellStyle name="Normal 4 40" xfId="372" xr:uid="{00000000-0005-0000-0000-000070020000}"/>
    <cellStyle name="Normal 4 41" xfId="349" xr:uid="{00000000-0005-0000-0000-000071020000}"/>
    <cellStyle name="Normal 4 42" xfId="380" xr:uid="{00000000-0005-0000-0000-000072020000}"/>
    <cellStyle name="Normal 4 43" xfId="386" xr:uid="{00000000-0005-0000-0000-000073020000}"/>
    <cellStyle name="Normal 4 44" xfId="393" xr:uid="{00000000-0005-0000-0000-000074020000}"/>
    <cellStyle name="Normal 4 45" xfId="399" xr:uid="{00000000-0005-0000-0000-000075020000}"/>
    <cellStyle name="Normal 4 46" xfId="405" xr:uid="{00000000-0005-0000-0000-000076020000}"/>
    <cellStyle name="Normal 4 47" xfId="412" xr:uid="{00000000-0005-0000-0000-000077020000}"/>
    <cellStyle name="Normal 4 48" xfId="419" xr:uid="{00000000-0005-0000-0000-000078020000}"/>
    <cellStyle name="Normal 4 49" xfId="426" xr:uid="{00000000-0005-0000-0000-000079020000}"/>
    <cellStyle name="Normal 4 5" xfId="172" xr:uid="{00000000-0005-0000-0000-00007A020000}"/>
    <cellStyle name="Normal 4 5 2" xfId="665" xr:uid="{00000000-0005-0000-0000-00007B020000}"/>
    <cellStyle name="Normal 4 50" xfId="432" xr:uid="{00000000-0005-0000-0000-00007C020000}"/>
    <cellStyle name="Normal 4 51" xfId="438" xr:uid="{00000000-0005-0000-0000-00007D020000}"/>
    <cellStyle name="Normal 4 52" xfId="444" xr:uid="{00000000-0005-0000-0000-00007E020000}"/>
    <cellStyle name="Normal 4 53" xfId="449" xr:uid="{00000000-0005-0000-0000-00007F020000}"/>
    <cellStyle name="Normal 4 54" xfId="454" xr:uid="{00000000-0005-0000-0000-000080020000}"/>
    <cellStyle name="Normal 4 55" xfId="458" xr:uid="{00000000-0005-0000-0000-000081020000}"/>
    <cellStyle name="Normal 4 6" xfId="173" xr:uid="{00000000-0005-0000-0000-000082020000}"/>
    <cellStyle name="Normal 4 6 2" xfId="666" xr:uid="{00000000-0005-0000-0000-000083020000}"/>
    <cellStyle name="Normal 4 7" xfId="174" xr:uid="{00000000-0005-0000-0000-000084020000}"/>
    <cellStyle name="Normal 4 7 2" xfId="667" xr:uid="{00000000-0005-0000-0000-000085020000}"/>
    <cellStyle name="Normal 4 8" xfId="175" xr:uid="{00000000-0005-0000-0000-000086020000}"/>
    <cellStyle name="Normal 4 8 2" xfId="668" xr:uid="{00000000-0005-0000-0000-000087020000}"/>
    <cellStyle name="Normal 4 9" xfId="176" xr:uid="{00000000-0005-0000-0000-000088020000}"/>
    <cellStyle name="Normal 4 9 2" xfId="669" xr:uid="{00000000-0005-0000-0000-000089020000}"/>
    <cellStyle name="Normal 5" xfId="22" xr:uid="{00000000-0005-0000-0000-00008A020000}"/>
    <cellStyle name="Normal 5 10" xfId="177" xr:uid="{00000000-0005-0000-0000-00008B020000}"/>
    <cellStyle name="Normal 5 10 2" xfId="670" xr:uid="{00000000-0005-0000-0000-00008C020000}"/>
    <cellStyle name="Normal 5 11" xfId="178" xr:uid="{00000000-0005-0000-0000-00008D020000}"/>
    <cellStyle name="Normal 5 11 2" xfId="671" xr:uid="{00000000-0005-0000-0000-00008E020000}"/>
    <cellStyle name="Normal 5 12" xfId="179" xr:uid="{00000000-0005-0000-0000-00008F020000}"/>
    <cellStyle name="Normal 5 12 2" xfId="672" xr:uid="{00000000-0005-0000-0000-000090020000}"/>
    <cellStyle name="Normal 5 13" xfId="180" xr:uid="{00000000-0005-0000-0000-000091020000}"/>
    <cellStyle name="Normal 5 13 2" xfId="673" xr:uid="{00000000-0005-0000-0000-000092020000}"/>
    <cellStyle name="Normal 5 14" xfId="181" xr:uid="{00000000-0005-0000-0000-000093020000}"/>
    <cellStyle name="Normal 5 14 2" xfId="674" xr:uid="{00000000-0005-0000-0000-000094020000}"/>
    <cellStyle name="Normal 5 15" xfId="182" xr:uid="{00000000-0005-0000-0000-000095020000}"/>
    <cellStyle name="Normal 5 15 2" xfId="675" xr:uid="{00000000-0005-0000-0000-000096020000}"/>
    <cellStyle name="Normal 5 16" xfId="183" xr:uid="{00000000-0005-0000-0000-000097020000}"/>
    <cellStyle name="Normal 5 16 2" xfId="676" xr:uid="{00000000-0005-0000-0000-000098020000}"/>
    <cellStyle name="Normal 5 17" xfId="184" xr:uid="{00000000-0005-0000-0000-000099020000}"/>
    <cellStyle name="Normal 5 17 2" xfId="677" xr:uid="{00000000-0005-0000-0000-00009A020000}"/>
    <cellStyle name="Normal 5 18" xfId="185" xr:uid="{00000000-0005-0000-0000-00009B020000}"/>
    <cellStyle name="Normal 5 19" xfId="186" xr:uid="{00000000-0005-0000-0000-00009C020000}"/>
    <cellStyle name="Normal 5 2" xfId="187" xr:uid="{00000000-0005-0000-0000-00009D020000}"/>
    <cellStyle name="Normal 5 2 2" xfId="678" xr:uid="{00000000-0005-0000-0000-00009E020000}"/>
    <cellStyle name="Normal 5 2 3" xfId="751" xr:uid="{00000000-0005-0000-0000-00009F020000}"/>
    <cellStyle name="Normal 5 2 4" xfId="752" xr:uid="{00000000-0005-0000-0000-0000A0020000}"/>
    <cellStyle name="Normal 5 2 5" xfId="753" xr:uid="{00000000-0005-0000-0000-0000A1020000}"/>
    <cellStyle name="Normal 5 2 6" xfId="754" xr:uid="{00000000-0005-0000-0000-0000A2020000}"/>
    <cellStyle name="Normal 5 2 7" xfId="755" xr:uid="{00000000-0005-0000-0000-0000A3020000}"/>
    <cellStyle name="Normal 5 2 8" xfId="756" xr:uid="{00000000-0005-0000-0000-0000A4020000}"/>
    <cellStyle name="Normal 5 20" xfId="188" xr:uid="{00000000-0005-0000-0000-0000A5020000}"/>
    <cellStyle name="Normal 5 21" xfId="189" xr:uid="{00000000-0005-0000-0000-0000A6020000}"/>
    <cellStyle name="Normal 5 22" xfId="757" xr:uid="{00000000-0005-0000-0000-0000A7020000}"/>
    <cellStyle name="Normal 5 23" xfId="758" xr:uid="{00000000-0005-0000-0000-0000A8020000}"/>
    <cellStyle name="Normal 5 24" xfId="759" xr:uid="{00000000-0005-0000-0000-0000A9020000}"/>
    <cellStyle name="Normal 5 25" xfId="760" xr:uid="{00000000-0005-0000-0000-0000AA020000}"/>
    <cellStyle name="Normal 5 26" xfId="761" xr:uid="{00000000-0005-0000-0000-0000AB020000}"/>
    <cellStyle name="Normal 5 27" xfId="762" xr:uid="{00000000-0005-0000-0000-0000AC020000}"/>
    <cellStyle name="Normal 5 3" xfId="190" xr:uid="{00000000-0005-0000-0000-0000AD020000}"/>
    <cellStyle name="Normal 5 3 2" xfId="679" xr:uid="{00000000-0005-0000-0000-0000AE020000}"/>
    <cellStyle name="Normal 5 4" xfId="191" xr:uid="{00000000-0005-0000-0000-0000AF020000}"/>
    <cellStyle name="Normal 5 4 2" xfId="680" xr:uid="{00000000-0005-0000-0000-0000B0020000}"/>
    <cellStyle name="Normal 5 5" xfId="192" xr:uid="{00000000-0005-0000-0000-0000B1020000}"/>
    <cellStyle name="Normal 5 5 2" xfId="681" xr:uid="{00000000-0005-0000-0000-0000B2020000}"/>
    <cellStyle name="Normal 5 6" xfId="193" xr:uid="{00000000-0005-0000-0000-0000B3020000}"/>
    <cellStyle name="Normal 5 6 2" xfId="682" xr:uid="{00000000-0005-0000-0000-0000B4020000}"/>
    <cellStyle name="Normal 5 7" xfId="194" xr:uid="{00000000-0005-0000-0000-0000B5020000}"/>
    <cellStyle name="Normal 5 7 2" xfId="683" xr:uid="{00000000-0005-0000-0000-0000B6020000}"/>
    <cellStyle name="Normal 5 8" xfId="195" xr:uid="{00000000-0005-0000-0000-0000B7020000}"/>
    <cellStyle name="Normal 5 8 2" xfId="684" xr:uid="{00000000-0005-0000-0000-0000B8020000}"/>
    <cellStyle name="Normal 5 9" xfId="196" xr:uid="{00000000-0005-0000-0000-0000B9020000}"/>
    <cellStyle name="Normal 5 9 2" xfId="685" xr:uid="{00000000-0005-0000-0000-0000BA020000}"/>
    <cellStyle name="Normal 6" xfId="23" xr:uid="{00000000-0005-0000-0000-0000BB020000}"/>
    <cellStyle name="Normal 6 10" xfId="763" xr:uid="{00000000-0005-0000-0000-0000BC020000}"/>
    <cellStyle name="Normal 6 11" xfId="764" xr:uid="{00000000-0005-0000-0000-0000BD020000}"/>
    <cellStyle name="Normal 6 12" xfId="765" xr:uid="{00000000-0005-0000-0000-0000BE020000}"/>
    <cellStyle name="Normal 6 2" xfId="197" xr:uid="{00000000-0005-0000-0000-0000BF020000}"/>
    <cellStyle name="Normal 6 2 2" xfId="766" xr:uid="{00000000-0005-0000-0000-0000C0020000}"/>
    <cellStyle name="Normal 6 2 3" xfId="767" xr:uid="{00000000-0005-0000-0000-0000C1020000}"/>
    <cellStyle name="Normal 6 2 4" xfId="768" xr:uid="{00000000-0005-0000-0000-0000C2020000}"/>
    <cellStyle name="Normal 6 2 5" xfId="769" xr:uid="{00000000-0005-0000-0000-0000C3020000}"/>
    <cellStyle name="Normal 6 2 6" xfId="770" xr:uid="{00000000-0005-0000-0000-0000C4020000}"/>
    <cellStyle name="Normal 6 2 7" xfId="771" xr:uid="{00000000-0005-0000-0000-0000C5020000}"/>
    <cellStyle name="Normal 6 2 8" xfId="772" xr:uid="{00000000-0005-0000-0000-0000C6020000}"/>
    <cellStyle name="Normal 6 3" xfId="198" xr:uid="{00000000-0005-0000-0000-0000C7020000}"/>
    <cellStyle name="Normal 6 4" xfId="199" xr:uid="{00000000-0005-0000-0000-0000C8020000}"/>
    <cellStyle name="Normal 6 5" xfId="200" xr:uid="{00000000-0005-0000-0000-0000C9020000}"/>
    <cellStyle name="Normal 6 6" xfId="201" xr:uid="{00000000-0005-0000-0000-0000CA020000}"/>
    <cellStyle name="Normal 6 7" xfId="773" xr:uid="{00000000-0005-0000-0000-0000CB020000}"/>
    <cellStyle name="Normal 6 8" xfId="774" xr:uid="{00000000-0005-0000-0000-0000CC020000}"/>
    <cellStyle name="Normal 6 9" xfId="775" xr:uid="{00000000-0005-0000-0000-0000CD020000}"/>
    <cellStyle name="Normal 7" xfId="24" xr:uid="{00000000-0005-0000-0000-0000CE020000}"/>
    <cellStyle name="Normal 7 10" xfId="776" xr:uid="{00000000-0005-0000-0000-0000CF020000}"/>
    <cellStyle name="Normal 7 11" xfId="777" xr:uid="{00000000-0005-0000-0000-0000D0020000}"/>
    <cellStyle name="Normal 7 2" xfId="686" xr:uid="{00000000-0005-0000-0000-0000D1020000}"/>
    <cellStyle name="Normal 7 3" xfId="778" xr:uid="{00000000-0005-0000-0000-0000D2020000}"/>
    <cellStyle name="Normal 7 4" xfId="779" xr:uid="{00000000-0005-0000-0000-0000D3020000}"/>
    <cellStyle name="Normal 7 5" xfId="780" xr:uid="{00000000-0005-0000-0000-0000D4020000}"/>
    <cellStyle name="Normal 7 6" xfId="781" xr:uid="{00000000-0005-0000-0000-0000D5020000}"/>
    <cellStyle name="Normal 7 7" xfId="782" xr:uid="{00000000-0005-0000-0000-0000D6020000}"/>
    <cellStyle name="Normal 7 8" xfId="783" xr:uid="{00000000-0005-0000-0000-0000D7020000}"/>
    <cellStyle name="Normal 7 9" xfId="784" xr:uid="{00000000-0005-0000-0000-0000D8020000}"/>
    <cellStyle name="Normal 8" xfId="25" xr:uid="{00000000-0005-0000-0000-0000D9020000}"/>
    <cellStyle name="Normal 8 10" xfId="785" xr:uid="{00000000-0005-0000-0000-0000DA020000}"/>
    <cellStyle name="Normal 8 11" xfId="786" xr:uid="{00000000-0005-0000-0000-0000DB020000}"/>
    <cellStyle name="Normal 8 2" xfId="787" xr:uid="{00000000-0005-0000-0000-0000DC020000}"/>
    <cellStyle name="Normal 8 3" xfId="788" xr:uid="{00000000-0005-0000-0000-0000DD020000}"/>
    <cellStyle name="Normal 8 4" xfId="789" xr:uid="{00000000-0005-0000-0000-0000DE020000}"/>
    <cellStyle name="Normal 8 5" xfId="790" xr:uid="{00000000-0005-0000-0000-0000DF020000}"/>
    <cellStyle name="Normal 8 6" xfId="791" xr:uid="{00000000-0005-0000-0000-0000E0020000}"/>
    <cellStyle name="Normal 8 7" xfId="792" xr:uid="{00000000-0005-0000-0000-0000E1020000}"/>
    <cellStyle name="Normal 8 8" xfId="793" xr:uid="{00000000-0005-0000-0000-0000E2020000}"/>
    <cellStyle name="Normal 8 9" xfId="794" xr:uid="{00000000-0005-0000-0000-0000E3020000}"/>
    <cellStyle name="Normal 9" xfId="26" xr:uid="{00000000-0005-0000-0000-0000E4020000}"/>
    <cellStyle name="Normal 9 10" xfId="795" xr:uid="{00000000-0005-0000-0000-0000E5020000}"/>
    <cellStyle name="Normal 9 11" xfId="796" xr:uid="{00000000-0005-0000-0000-0000E6020000}"/>
    <cellStyle name="Normal 9 2" xfId="797" xr:uid="{00000000-0005-0000-0000-0000E7020000}"/>
    <cellStyle name="Normal 9 3" xfId="798" xr:uid="{00000000-0005-0000-0000-0000E8020000}"/>
    <cellStyle name="Normal 9 4" xfId="799" xr:uid="{00000000-0005-0000-0000-0000E9020000}"/>
    <cellStyle name="Normal 9 5" xfId="800" xr:uid="{00000000-0005-0000-0000-0000EA020000}"/>
    <cellStyle name="Normal 9 6" xfId="801" xr:uid="{00000000-0005-0000-0000-0000EB020000}"/>
    <cellStyle name="Normal 9 7" xfId="802" xr:uid="{00000000-0005-0000-0000-0000EC020000}"/>
    <cellStyle name="Normal 9 8" xfId="803" xr:uid="{00000000-0005-0000-0000-0000ED020000}"/>
    <cellStyle name="Normal 9 9" xfId="804" xr:uid="{00000000-0005-0000-0000-0000EE020000}"/>
    <cellStyle name="Note 2" xfId="687" xr:uid="{00000000-0005-0000-0000-0000EF020000}"/>
    <cellStyle name="Note 3" xfId="688" xr:uid="{00000000-0005-0000-0000-0000F0020000}"/>
    <cellStyle name="Output 2" xfId="689" xr:uid="{00000000-0005-0000-0000-0000F1020000}"/>
    <cellStyle name="Output 3" xfId="690" xr:uid="{00000000-0005-0000-0000-0000F2020000}"/>
    <cellStyle name="Percent 2" xfId="691" xr:uid="{00000000-0005-0000-0000-0000F3020000}"/>
    <cellStyle name="Percent 2 2" xfId="202" xr:uid="{00000000-0005-0000-0000-0000F4020000}"/>
    <cellStyle name="Percent 2 3" xfId="692" xr:uid="{00000000-0005-0000-0000-0000F5020000}"/>
    <cellStyle name="Percent 3" xfId="693" xr:uid="{00000000-0005-0000-0000-0000F6020000}"/>
    <cellStyle name="Percent 4" xfId="694" xr:uid="{00000000-0005-0000-0000-0000F7020000}"/>
    <cellStyle name="Porcentaje" xfId="1" builtinId="5"/>
    <cellStyle name="Porcentaje 2" xfId="695" xr:uid="{00000000-0005-0000-0000-0000F9020000}"/>
    <cellStyle name="Porcentual" xfId="696" xr:uid="{00000000-0005-0000-0000-0000FA020000}"/>
    <cellStyle name="Porcentual 2" xfId="203" xr:uid="{00000000-0005-0000-0000-0000FB020000}"/>
    <cellStyle name="Porcentual 2 10" xfId="204" xr:uid="{00000000-0005-0000-0000-0000FC020000}"/>
    <cellStyle name="Porcentual 2 10 2" xfId="697" xr:uid="{00000000-0005-0000-0000-0000FD020000}"/>
    <cellStyle name="Porcentual 2 11" xfId="205" xr:uid="{00000000-0005-0000-0000-0000FE020000}"/>
    <cellStyle name="Porcentual 2 11 2" xfId="698" xr:uid="{00000000-0005-0000-0000-0000FF020000}"/>
    <cellStyle name="Porcentual 2 12" xfId="206" xr:uid="{00000000-0005-0000-0000-000000030000}"/>
    <cellStyle name="Porcentual 2 12 2" xfId="699" xr:uid="{00000000-0005-0000-0000-000001030000}"/>
    <cellStyle name="Porcentual 2 13" xfId="207" xr:uid="{00000000-0005-0000-0000-000002030000}"/>
    <cellStyle name="Porcentual 2 13 2" xfId="700" xr:uid="{00000000-0005-0000-0000-000003030000}"/>
    <cellStyle name="Porcentual 2 14" xfId="208" xr:uid="{00000000-0005-0000-0000-000004030000}"/>
    <cellStyle name="Porcentual 2 14 2" xfId="701" xr:uid="{00000000-0005-0000-0000-000005030000}"/>
    <cellStyle name="Porcentual 2 15" xfId="209" xr:uid="{00000000-0005-0000-0000-000006030000}"/>
    <cellStyle name="Porcentual 2 15 2" xfId="702" xr:uid="{00000000-0005-0000-0000-000007030000}"/>
    <cellStyle name="Porcentual 2 16" xfId="210" xr:uid="{00000000-0005-0000-0000-000008030000}"/>
    <cellStyle name="Porcentual 2 16 2" xfId="703" xr:uid="{00000000-0005-0000-0000-000009030000}"/>
    <cellStyle name="Porcentual 2 17" xfId="211" xr:uid="{00000000-0005-0000-0000-00000A030000}"/>
    <cellStyle name="Porcentual 2 17 2" xfId="704" xr:uid="{00000000-0005-0000-0000-00000B030000}"/>
    <cellStyle name="Porcentual 2 18" xfId="705" xr:uid="{00000000-0005-0000-0000-00000C030000}"/>
    <cellStyle name="Porcentual 2 2" xfId="212" xr:uid="{00000000-0005-0000-0000-00000D030000}"/>
    <cellStyle name="Porcentual 2 2 2" xfId="706" xr:uid="{00000000-0005-0000-0000-00000E030000}"/>
    <cellStyle name="Porcentual 2 3" xfId="213" xr:uid="{00000000-0005-0000-0000-00000F030000}"/>
    <cellStyle name="Porcentual 2 3 2" xfId="707" xr:uid="{00000000-0005-0000-0000-000010030000}"/>
    <cellStyle name="Porcentual 2 4" xfId="214" xr:uid="{00000000-0005-0000-0000-000011030000}"/>
    <cellStyle name="Porcentual 2 4 2" xfId="708" xr:uid="{00000000-0005-0000-0000-000012030000}"/>
    <cellStyle name="Porcentual 2 5" xfId="215" xr:uid="{00000000-0005-0000-0000-000013030000}"/>
    <cellStyle name="Porcentual 2 5 2" xfId="709" xr:uid="{00000000-0005-0000-0000-000014030000}"/>
    <cellStyle name="Porcentual 2 6" xfId="216" xr:uid="{00000000-0005-0000-0000-000015030000}"/>
    <cellStyle name="Porcentual 2 6 2" xfId="710" xr:uid="{00000000-0005-0000-0000-000016030000}"/>
    <cellStyle name="Porcentual 2 7" xfId="217" xr:uid="{00000000-0005-0000-0000-000017030000}"/>
    <cellStyle name="Porcentual 2 7 2" xfId="711" xr:uid="{00000000-0005-0000-0000-000018030000}"/>
    <cellStyle name="Porcentual 2 8" xfId="218" xr:uid="{00000000-0005-0000-0000-000019030000}"/>
    <cellStyle name="Porcentual 2 8 2" xfId="712" xr:uid="{00000000-0005-0000-0000-00001A030000}"/>
    <cellStyle name="Porcentual 2 9" xfId="219" xr:uid="{00000000-0005-0000-0000-00001B030000}"/>
    <cellStyle name="Porcentual 2 9 2" xfId="713" xr:uid="{00000000-0005-0000-0000-00001C030000}"/>
    <cellStyle name="Porcentual 4" xfId="714" xr:uid="{00000000-0005-0000-0000-00001D030000}"/>
    <cellStyle name="Porcentual 4 2" xfId="715" xr:uid="{00000000-0005-0000-0000-00001E030000}"/>
    <cellStyle name="Porcentual 4 3" xfId="716" xr:uid="{00000000-0005-0000-0000-00001F030000}"/>
    <cellStyle name="Porcentual 4 4" xfId="805" xr:uid="{00000000-0005-0000-0000-000020030000}"/>
    <cellStyle name="Title 2" xfId="717" xr:uid="{00000000-0005-0000-0000-000021030000}"/>
    <cellStyle name="Title 3" xfId="718" xr:uid="{00000000-0005-0000-0000-000022030000}"/>
    <cellStyle name="Total 2" xfId="719" xr:uid="{00000000-0005-0000-0000-000023030000}"/>
    <cellStyle name="Total 3" xfId="720" xr:uid="{00000000-0005-0000-0000-000024030000}"/>
    <cellStyle name="Total 4" xfId="721" xr:uid="{00000000-0005-0000-0000-000025030000}"/>
    <cellStyle name="Warning Text 2" xfId="722" xr:uid="{00000000-0005-0000-0000-000026030000}"/>
    <cellStyle name="Warning Text 3" xfId="723" xr:uid="{00000000-0005-0000-0000-000027030000}"/>
  </cellStyles>
  <dxfs count="4">
    <dxf>
      <font>
        <color rgb="FFFA0000"/>
      </font>
    </dxf>
    <dxf>
      <font>
        <color rgb="FFFA0000"/>
      </font>
    </dxf>
    <dxf>
      <font>
        <color rgb="FF9C0006"/>
      </font>
      <fill>
        <patternFill>
          <bgColor rgb="FFFFC7CE"/>
        </patternFill>
      </fill>
    </dxf>
    <dxf>
      <font>
        <color rgb="FFFA0000"/>
      </font>
    </dxf>
  </dxfs>
  <tableStyles count="0" defaultTableStyle="TableStyleMedium9" defaultPivotStyle="PivotStyleLight16"/>
  <colors>
    <mruColors>
      <color rgb="FF0000FF"/>
      <color rgb="FFFA0000"/>
      <color rgb="FFCC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'H55'!$C$317:$C$325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 formatCode="0.00">
                  <c:v>1</c:v>
                </c:pt>
                <c:pt idx="3" formatCode="0.00">
                  <c:v>1</c:v>
                </c:pt>
                <c:pt idx="4" formatCode="0.00">
                  <c:v>1.1000000000000001</c:v>
                </c:pt>
                <c:pt idx="5" formatCode="0.00">
                  <c:v>1.1000000000000001</c:v>
                </c:pt>
                <c:pt idx="6" formatCode="0.00">
                  <c:v>3.7</c:v>
                </c:pt>
                <c:pt idx="7" formatCode="0.00">
                  <c:v>3.7</c:v>
                </c:pt>
                <c:pt idx="8">
                  <c:v>0</c:v>
                </c:pt>
              </c:numCache>
            </c:numRef>
          </c:xVal>
          <c:yVal>
            <c:numRef>
              <c:f>'H55'!$D$317:$D$325</c:f>
              <c:numCache>
                <c:formatCode>0.00</c:formatCode>
                <c:ptCount val="9"/>
                <c:pt idx="0" formatCode="General">
                  <c:v>0</c:v>
                </c:pt>
                <c:pt idx="1">
                  <c:v>0.65</c:v>
                </c:pt>
                <c:pt idx="2">
                  <c:v>0.65</c:v>
                </c:pt>
                <c:pt idx="3">
                  <c:v>6.15</c:v>
                </c:pt>
                <c:pt idx="4">
                  <c:v>6.15</c:v>
                </c:pt>
                <c:pt idx="5">
                  <c:v>0.65</c:v>
                </c:pt>
                <c:pt idx="6">
                  <c:v>0.65</c:v>
                </c:pt>
                <c:pt idx="7" formatCode="General">
                  <c:v>0</c:v>
                </c:pt>
                <c:pt idx="8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76-43B0-97BF-4B43FB6A4473}"/>
            </c:ext>
          </c:extLst>
        </c:ser>
        <c:ser>
          <c:idx val="1"/>
          <c:order val="1"/>
          <c:spPr>
            <a:ln w="15875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'H55'!$C$326:$C$331</c:f>
              <c:numCache>
                <c:formatCode>0.00</c:formatCode>
                <c:ptCount val="6"/>
                <c:pt idx="0">
                  <c:v>1.1000000000000001</c:v>
                </c:pt>
                <c:pt idx="1">
                  <c:v>1.1000000000000001</c:v>
                </c:pt>
                <c:pt idx="2">
                  <c:v>1.4300000000000002</c:v>
                </c:pt>
                <c:pt idx="3">
                  <c:v>1.6190000000000002</c:v>
                </c:pt>
                <c:pt idx="4">
                  <c:v>2.34</c:v>
                </c:pt>
                <c:pt idx="5">
                  <c:v>1.1000000000000001</c:v>
                </c:pt>
              </c:numCache>
            </c:numRef>
          </c:xVal>
          <c:yVal>
            <c:numRef>
              <c:f>'H55'!$D$326:$D$331</c:f>
              <c:numCache>
                <c:formatCode>0.00</c:formatCode>
                <c:ptCount val="6"/>
                <c:pt idx="0">
                  <c:v>0.65</c:v>
                </c:pt>
                <c:pt idx="1">
                  <c:v>5.15</c:v>
                </c:pt>
                <c:pt idx="2">
                  <c:v>5.15</c:v>
                </c:pt>
                <c:pt idx="3">
                  <c:v>3.65</c:v>
                </c:pt>
                <c:pt idx="4">
                  <c:v>0.65</c:v>
                </c:pt>
                <c:pt idx="5">
                  <c:v>0.65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76-43B0-97BF-4B43FB6A4473}"/>
            </c:ext>
          </c:extLst>
        </c:ser>
        <c:ser>
          <c:idx val="2"/>
          <c:order val="2"/>
          <c:spPr>
            <a:ln w="12700">
              <a:solidFill>
                <a:schemeClr val="accent6">
                  <a:lumMod val="50000"/>
                </a:schemeClr>
              </a:solidFill>
            </a:ln>
          </c:spPr>
          <c:marker>
            <c:symbol val="none"/>
          </c:marker>
          <c:xVal>
            <c:numRef>
              <c:f>'H55'!$V$79:$V$83</c:f>
              <c:numCache>
                <c:formatCode>General</c:formatCode>
                <c:ptCount val="5"/>
              </c:numCache>
            </c:numRef>
          </c:xVal>
          <c:yVal>
            <c:numRef>
              <c:f>'H55'!$W$79:$W$83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E76-43B0-97BF-4B43FB6A4473}"/>
            </c:ext>
          </c:extLst>
        </c:ser>
        <c:ser>
          <c:idx val="3"/>
          <c:order val="3"/>
          <c:spPr>
            <a:ln w="19050">
              <a:solidFill>
                <a:schemeClr val="accent6">
                  <a:lumMod val="50000"/>
                </a:schemeClr>
              </a:solidFill>
            </a:ln>
          </c:spPr>
          <c:marker>
            <c:symbol val="none"/>
          </c:marker>
          <c:xVal>
            <c:numRef>
              <c:f>'H55'!$C$332:$C$334</c:f>
              <c:numCache>
                <c:formatCode>0.00</c:formatCode>
                <c:ptCount val="3"/>
                <c:pt idx="0">
                  <c:v>1.1000000000000001</c:v>
                </c:pt>
                <c:pt idx="1">
                  <c:v>3.7</c:v>
                </c:pt>
                <c:pt idx="2">
                  <c:v>3.7</c:v>
                </c:pt>
              </c:numCache>
            </c:numRef>
          </c:xVal>
          <c:yVal>
            <c:numRef>
              <c:f>'H55'!$D$332:$D$334</c:f>
              <c:numCache>
                <c:formatCode>0.00</c:formatCode>
                <c:ptCount val="3"/>
                <c:pt idx="0">
                  <c:v>6.15</c:v>
                </c:pt>
                <c:pt idx="1">
                  <c:v>6.15</c:v>
                </c:pt>
                <c:pt idx="2">
                  <c:v>0.65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E76-43B0-97BF-4B43FB6A44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656944"/>
        <c:axId val="396657336"/>
      </c:scatterChart>
      <c:valAx>
        <c:axId val="396656944"/>
        <c:scaling>
          <c:orientation val="minMax"/>
        </c:scaling>
        <c:delete val="0"/>
        <c:axPos val="b"/>
        <c:numFmt formatCode="#,##0.0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396657336"/>
        <c:crosses val="autoZero"/>
        <c:crossBetween val="midCat"/>
      </c:valAx>
      <c:valAx>
        <c:axId val="396657336"/>
        <c:scaling>
          <c:orientation val="minMax"/>
        </c:scaling>
        <c:delete val="0"/>
        <c:axPos val="l"/>
        <c:majorGridlines>
          <c:spPr>
            <a:ln w="12700">
              <a:solidFill>
                <a:schemeClr val="bg1"/>
              </a:solidFill>
            </a:ln>
          </c:spPr>
        </c:majorGridlines>
        <c:numFmt formatCode="#,##0.00" sourceLinked="0"/>
        <c:majorTickMark val="none"/>
        <c:minorTickMark val="none"/>
        <c:tickLblPos val="nextTo"/>
        <c:spPr>
          <a:solidFill>
            <a:schemeClr val="bg1"/>
          </a:solidFill>
          <a:ln w="12700">
            <a:solidFill>
              <a:schemeClr val="tx1"/>
            </a:solidFill>
          </a:ln>
        </c:spPr>
        <c:crossAx val="396656944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800">
          <a:latin typeface="Arial Narrow" pitchFamily="34" charset="0"/>
        </a:defRPr>
      </a:pPr>
      <a:endParaRPr lang="es-PE"/>
    </a:p>
  </c:txPr>
  <c:printSettings>
    <c:headerFooter/>
    <c:pageMargins b="0.75000000000000355" l="0.70000000000000062" r="0.70000000000000062" t="0.75000000000000355" header="0.30000000000000032" footer="0.30000000000000032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5875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'H55'!$P$318:$P$322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 formatCode="0.00">
                  <c:v>2.4</c:v>
                </c:pt>
                <c:pt idx="3" formatCode="0.00">
                  <c:v>2.4</c:v>
                </c:pt>
                <c:pt idx="4">
                  <c:v>0</c:v>
                </c:pt>
              </c:numCache>
            </c:numRef>
          </c:xVal>
          <c:yVal>
            <c:numRef>
              <c:f>'H55'!$Q$318:$Q$322</c:f>
              <c:numCache>
                <c:formatCode>General</c:formatCode>
                <c:ptCount val="5"/>
                <c:pt idx="0" formatCode="0.00">
                  <c:v>0.65</c:v>
                </c:pt>
                <c:pt idx="1">
                  <c:v>0</c:v>
                </c:pt>
                <c:pt idx="2">
                  <c:v>0</c:v>
                </c:pt>
                <c:pt idx="3" formatCode="0.00">
                  <c:v>0.65</c:v>
                </c:pt>
                <c:pt idx="4">
                  <c:v>0.65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0F-468E-AB4C-557BB44BD08F}"/>
            </c:ext>
          </c:extLst>
        </c:ser>
        <c:ser>
          <c:idx val="1"/>
          <c:order val="1"/>
          <c:spPr>
            <a:ln w="15875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'H55'!$P$323:$P$327</c:f>
              <c:numCache>
                <c:formatCode>0.00</c:formatCode>
                <c:ptCount val="5"/>
                <c:pt idx="0" formatCode="General">
                  <c:v>0</c:v>
                </c:pt>
                <c:pt idx="1">
                  <c:v>2.4</c:v>
                </c:pt>
                <c:pt idx="2">
                  <c:v>2.4</c:v>
                </c:pt>
                <c:pt idx="3" formatCode="General">
                  <c:v>0</c:v>
                </c:pt>
                <c:pt idx="4" formatCode="General">
                  <c:v>0</c:v>
                </c:pt>
              </c:numCache>
            </c:numRef>
          </c:xVal>
          <c:yVal>
            <c:numRef>
              <c:f>'H55'!$Q$323:$Q$327</c:f>
              <c:numCache>
                <c:formatCode>0.00</c:formatCode>
                <c:ptCount val="5"/>
                <c:pt idx="0" formatCode="General">
                  <c:v>0.65</c:v>
                </c:pt>
                <c:pt idx="1">
                  <c:v>0.65</c:v>
                </c:pt>
                <c:pt idx="2">
                  <c:v>6.15</c:v>
                </c:pt>
                <c:pt idx="3">
                  <c:v>6.15</c:v>
                </c:pt>
                <c:pt idx="4" formatCode="General">
                  <c:v>0.65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0F-468E-AB4C-557BB44BD08F}"/>
            </c:ext>
          </c:extLst>
        </c:ser>
        <c:ser>
          <c:idx val="2"/>
          <c:order val="2"/>
          <c:spPr>
            <a:ln w="15875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'H55'!$P$328:$P$332</c:f>
              <c:numCache>
                <c:formatCode>0.00</c:formatCode>
                <c:ptCount val="5"/>
                <c:pt idx="0" formatCode="General">
                  <c:v>0.74999999999999989</c:v>
                </c:pt>
                <c:pt idx="1">
                  <c:v>0.84999999999999987</c:v>
                </c:pt>
                <c:pt idx="2">
                  <c:v>0.84999999999999987</c:v>
                </c:pt>
                <c:pt idx="3" formatCode="General">
                  <c:v>0.74999999999999989</c:v>
                </c:pt>
                <c:pt idx="4" formatCode="General">
                  <c:v>0.74999999999999989</c:v>
                </c:pt>
              </c:numCache>
            </c:numRef>
          </c:xVal>
          <c:yVal>
            <c:numRef>
              <c:f>'H55'!$Q$328:$Q$332</c:f>
              <c:numCache>
                <c:formatCode>0.00</c:formatCode>
                <c:ptCount val="5"/>
                <c:pt idx="0">
                  <c:v>0.65</c:v>
                </c:pt>
                <c:pt idx="1">
                  <c:v>0.65</c:v>
                </c:pt>
                <c:pt idx="2">
                  <c:v>5.15</c:v>
                </c:pt>
                <c:pt idx="3">
                  <c:v>5.15</c:v>
                </c:pt>
                <c:pt idx="4">
                  <c:v>0.65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C0F-468E-AB4C-557BB44BD08F}"/>
            </c:ext>
          </c:extLst>
        </c:ser>
        <c:ser>
          <c:idx val="3"/>
          <c:order val="3"/>
          <c:spPr>
            <a:ln w="15875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'H55'!$P$333:$P$337</c:f>
              <c:numCache>
                <c:formatCode>0.00</c:formatCode>
                <c:ptCount val="5"/>
                <c:pt idx="0" formatCode="General">
                  <c:v>1.5499999999999998</c:v>
                </c:pt>
                <c:pt idx="1">
                  <c:v>1.65</c:v>
                </c:pt>
                <c:pt idx="2">
                  <c:v>1.65</c:v>
                </c:pt>
                <c:pt idx="3" formatCode="General">
                  <c:v>1.5499999999999998</c:v>
                </c:pt>
                <c:pt idx="4" formatCode="General">
                  <c:v>1.5499999999999998</c:v>
                </c:pt>
              </c:numCache>
            </c:numRef>
          </c:xVal>
          <c:yVal>
            <c:numRef>
              <c:f>'H55'!$Q$333:$Q$337</c:f>
              <c:numCache>
                <c:formatCode>0.00</c:formatCode>
                <c:ptCount val="5"/>
                <c:pt idx="0">
                  <c:v>0.65</c:v>
                </c:pt>
                <c:pt idx="1">
                  <c:v>0.65</c:v>
                </c:pt>
                <c:pt idx="2">
                  <c:v>5.15</c:v>
                </c:pt>
                <c:pt idx="3">
                  <c:v>5.15</c:v>
                </c:pt>
                <c:pt idx="4">
                  <c:v>0.65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C0F-468E-AB4C-557BB44BD0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9094184"/>
        <c:axId val="439094576"/>
      </c:scatterChart>
      <c:valAx>
        <c:axId val="439094184"/>
        <c:scaling>
          <c:orientation val="minMax"/>
        </c:scaling>
        <c:delete val="0"/>
        <c:axPos val="b"/>
        <c:numFmt formatCode="#,##0.0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439094576"/>
        <c:crosses val="autoZero"/>
        <c:crossBetween val="midCat"/>
      </c:valAx>
      <c:valAx>
        <c:axId val="439094576"/>
        <c:scaling>
          <c:orientation val="minMax"/>
        </c:scaling>
        <c:delete val="0"/>
        <c:axPos val="l"/>
        <c:majorGridlines>
          <c:spPr>
            <a:ln w="12700">
              <a:solidFill>
                <a:schemeClr val="bg1"/>
              </a:solidFill>
            </a:ln>
          </c:spPr>
        </c:majorGridlines>
        <c:numFmt formatCode="#,##0.00" sourceLinked="0"/>
        <c:majorTickMark val="none"/>
        <c:minorTickMark val="none"/>
        <c:tickLblPos val="nextTo"/>
        <c:spPr>
          <a:solidFill>
            <a:schemeClr val="bg1"/>
          </a:solidFill>
          <a:ln w="12700">
            <a:solidFill>
              <a:schemeClr val="tx1"/>
            </a:solidFill>
          </a:ln>
        </c:spPr>
        <c:crossAx val="439094184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800">
          <a:latin typeface="Arial Narrow" pitchFamily="34" charset="0"/>
        </a:defRPr>
      </a:pPr>
      <a:endParaRPr lang="es-PE"/>
    </a:p>
  </c:txPr>
  <c:printSettings>
    <c:headerFooter/>
    <c:pageMargins b="0.75000000000000355" l="0.70000000000000062" r="0.70000000000000062" t="0.75000000000000355" header="0.30000000000000032" footer="0.30000000000000032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image" Target="../media/image5.wmf"/><Relationship Id="rId5" Type="http://schemas.openxmlformats.org/officeDocument/2006/relationships/image" Target="../media/image4.wmf"/><Relationship Id="rId4" Type="http://schemas.openxmlformats.org/officeDocument/2006/relationships/image" Target="../media/image3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7" Type="http://schemas.openxmlformats.org/officeDocument/2006/relationships/image" Target="../media/image13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317534</xdr:colOff>
      <xdr:row>6</xdr:row>
      <xdr:rowOff>177005</xdr:rowOff>
    </xdr:from>
    <xdr:to>
      <xdr:col>6</xdr:col>
      <xdr:colOff>204108</xdr:colOff>
      <xdr:row>23</xdr:row>
      <xdr:rowOff>104774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40</xdr:col>
      <xdr:colOff>167595</xdr:colOff>
      <xdr:row>60</xdr:row>
      <xdr:rowOff>0</xdr:rowOff>
    </xdr:from>
    <xdr:to>
      <xdr:col>51</xdr:col>
      <xdr:colOff>196642</xdr:colOff>
      <xdr:row>96</xdr:row>
      <xdr:rowOff>62434</xdr:rowOff>
    </xdr:to>
    <xdr:pic>
      <xdr:nvPicPr>
        <xdr:cNvPr id="3" name="Picture 15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1097" t="-16228" r="45215" b="24348"/>
        <a:stretch>
          <a:fillRect/>
        </a:stretch>
      </xdr:blipFill>
      <xdr:spPr bwMode="auto">
        <a:xfrm>
          <a:off x="18836595" y="10639425"/>
          <a:ext cx="4953472" cy="6272734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38</xdr:col>
      <xdr:colOff>248062</xdr:colOff>
      <xdr:row>97</xdr:row>
      <xdr:rowOff>54647</xdr:rowOff>
    </xdr:from>
    <xdr:to>
      <xdr:col>46</xdr:col>
      <xdr:colOff>104418</xdr:colOff>
      <xdr:row>112</xdr:row>
      <xdr:rowOff>25659</xdr:rowOff>
    </xdr:to>
    <xdr:pic>
      <xdr:nvPicPr>
        <xdr:cNvPr id="4" name="Picture 16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 l="44629" t="45442" r="20020" b="15625"/>
        <a:stretch>
          <a:fillRect/>
        </a:stretch>
      </xdr:blipFill>
      <xdr:spPr bwMode="auto">
        <a:xfrm>
          <a:off x="18021712" y="17104397"/>
          <a:ext cx="3437756" cy="2517118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108857</xdr:colOff>
      <xdr:row>82</xdr:row>
      <xdr:rowOff>156481</xdr:rowOff>
    </xdr:from>
    <xdr:to>
      <xdr:col>9</xdr:col>
      <xdr:colOff>309562</xdr:colOff>
      <xdr:row>84</xdr:row>
      <xdr:rowOff>190499</xdr:rowOff>
    </xdr:to>
    <xdr:sp macro="" textlink="">
      <xdr:nvSpPr>
        <xdr:cNvPr id="5" name="Double Bracket 10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2709182" y="14577331"/>
          <a:ext cx="1600880" cy="453118"/>
        </a:xfrm>
        <a:prstGeom prst="bracketPair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6</xdr:col>
      <xdr:colOff>289156</xdr:colOff>
      <xdr:row>82</xdr:row>
      <xdr:rowOff>163276</xdr:rowOff>
    </xdr:from>
    <xdr:to>
      <xdr:col>9</xdr:col>
      <xdr:colOff>170090</xdr:colOff>
      <xdr:row>85</xdr:row>
      <xdr:rowOff>6796</xdr:rowOff>
    </xdr:to>
    <xdr:grpSp>
      <xdr:nvGrpSpPr>
        <xdr:cNvPr id="6" name="Group 11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pSpPr/>
      </xdr:nvGrpSpPr>
      <xdr:grpSpPr>
        <a:xfrm>
          <a:off x="3074397" y="14867248"/>
          <a:ext cx="1373403" cy="447865"/>
          <a:chOff x="3176167" y="13036693"/>
          <a:chExt cx="1472355" cy="445846"/>
        </a:xfrm>
      </xdr:grpSpPr>
      <xdr:cxnSp macro="">
        <xdr:nvCxnSpPr>
          <xdr:cNvPr id="7" name="Straight Connector 12">
            <a:extLst>
              <a:ext uri="{FF2B5EF4-FFF2-40B4-BE49-F238E27FC236}">
                <a16:creationId xmlns:a16="http://schemas.microsoft.com/office/drawing/2014/main" id="{00000000-0008-0000-0800-000007000000}"/>
              </a:ext>
            </a:extLst>
          </xdr:cNvPr>
          <xdr:cNvCxnSpPr/>
        </xdr:nvCxnSpPr>
        <xdr:spPr>
          <a:xfrm>
            <a:off x="3176167" y="13349187"/>
            <a:ext cx="58109" cy="125725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Straight Connector 13">
            <a:extLst>
              <a:ext uri="{FF2B5EF4-FFF2-40B4-BE49-F238E27FC236}">
                <a16:creationId xmlns:a16="http://schemas.microsoft.com/office/drawing/2014/main" id="{00000000-0008-0000-0800-000008000000}"/>
              </a:ext>
            </a:extLst>
          </xdr:cNvPr>
          <xdr:cNvCxnSpPr/>
        </xdr:nvCxnSpPr>
        <xdr:spPr>
          <a:xfrm flipV="1">
            <a:off x="3241311" y="13036693"/>
            <a:ext cx="121612" cy="445846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" name="Straight Connector 14">
            <a:extLst>
              <a:ext uri="{FF2B5EF4-FFF2-40B4-BE49-F238E27FC236}">
                <a16:creationId xmlns:a16="http://schemas.microsoft.com/office/drawing/2014/main" id="{00000000-0008-0000-0800-000009000000}"/>
              </a:ext>
            </a:extLst>
          </xdr:cNvPr>
          <xdr:cNvCxnSpPr/>
        </xdr:nvCxnSpPr>
        <xdr:spPr>
          <a:xfrm flipV="1">
            <a:off x="3362923" y="13036693"/>
            <a:ext cx="1285599" cy="1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6803</xdr:colOff>
      <xdr:row>83</xdr:row>
      <xdr:rowOff>204107</xdr:rowOff>
    </xdr:from>
    <xdr:to>
      <xdr:col>9</xdr:col>
      <xdr:colOff>163286</xdr:colOff>
      <xdr:row>83</xdr:row>
      <xdr:rowOff>204107</xdr:rowOff>
    </xdr:to>
    <xdr:cxnSp macro="">
      <xdr:nvCxnSpPr>
        <xdr:cNvPr id="10" name="Straight Connector 15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CxnSpPr/>
      </xdr:nvCxnSpPr>
      <xdr:spPr>
        <a:xfrm>
          <a:off x="3092903" y="14824982"/>
          <a:ext cx="1070883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66675</xdr:colOff>
      <xdr:row>72</xdr:row>
      <xdr:rowOff>156482</xdr:rowOff>
    </xdr:from>
    <xdr:to>
      <xdr:col>6</xdr:col>
      <xdr:colOff>23232</xdr:colOff>
      <xdr:row>75</xdr:row>
      <xdr:rowOff>6803</xdr:rowOff>
    </xdr:to>
    <xdr:sp macro="" textlink="">
      <xdr:nvSpPr>
        <xdr:cNvPr id="11" name="Double Bracket 16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/>
      </xdr:nvSpPr>
      <xdr:spPr>
        <a:xfrm>
          <a:off x="1266825" y="12843782"/>
          <a:ext cx="1356732" cy="412296"/>
        </a:xfrm>
        <a:prstGeom prst="bracketPair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3</xdr:col>
      <xdr:colOff>257866</xdr:colOff>
      <xdr:row>72</xdr:row>
      <xdr:rowOff>190481</xdr:rowOff>
    </xdr:from>
    <xdr:to>
      <xdr:col>5</xdr:col>
      <xdr:colOff>367394</xdr:colOff>
      <xdr:row>75</xdr:row>
      <xdr:rowOff>2692</xdr:rowOff>
    </xdr:to>
    <xdr:grpSp>
      <xdr:nvGrpSpPr>
        <xdr:cNvPr id="12" name="Group 17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GrpSpPr/>
      </xdr:nvGrpSpPr>
      <xdr:grpSpPr>
        <a:xfrm>
          <a:off x="1545383" y="13102440"/>
          <a:ext cx="1065970" cy="364004"/>
          <a:chOff x="3271724" y="13166652"/>
          <a:chExt cx="1260397" cy="315888"/>
        </a:xfrm>
      </xdr:grpSpPr>
      <xdr:cxnSp macro="">
        <xdr:nvCxnSpPr>
          <xdr:cNvPr id="13" name="Straight Connector 18">
            <a:extLst>
              <a:ext uri="{FF2B5EF4-FFF2-40B4-BE49-F238E27FC236}">
                <a16:creationId xmlns:a16="http://schemas.microsoft.com/office/drawing/2014/main" id="{00000000-0008-0000-0800-00000D000000}"/>
              </a:ext>
            </a:extLst>
          </xdr:cNvPr>
          <xdr:cNvCxnSpPr/>
        </xdr:nvCxnSpPr>
        <xdr:spPr>
          <a:xfrm>
            <a:off x="3271724" y="13349187"/>
            <a:ext cx="58109" cy="125725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" name="Straight Connector 19">
            <a:extLst>
              <a:ext uri="{FF2B5EF4-FFF2-40B4-BE49-F238E27FC236}">
                <a16:creationId xmlns:a16="http://schemas.microsoft.com/office/drawing/2014/main" id="{00000000-0008-0000-0800-00000E000000}"/>
              </a:ext>
            </a:extLst>
          </xdr:cNvPr>
          <xdr:cNvCxnSpPr/>
        </xdr:nvCxnSpPr>
        <xdr:spPr>
          <a:xfrm flipV="1">
            <a:off x="3336868" y="13166652"/>
            <a:ext cx="83389" cy="315888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" name="Straight Connector 20">
            <a:extLst>
              <a:ext uri="{FF2B5EF4-FFF2-40B4-BE49-F238E27FC236}">
                <a16:creationId xmlns:a16="http://schemas.microsoft.com/office/drawing/2014/main" id="{00000000-0008-0000-0800-00000F000000}"/>
              </a:ext>
            </a:extLst>
          </xdr:cNvPr>
          <xdr:cNvCxnSpPr/>
        </xdr:nvCxnSpPr>
        <xdr:spPr>
          <a:xfrm>
            <a:off x="3428936" y="13166667"/>
            <a:ext cx="1103185" cy="1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212956</xdr:colOff>
      <xdr:row>92</xdr:row>
      <xdr:rowOff>191851</xdr:rowOff>
    </xdr:from>
    <xdr:to>
      <xdr:col>6</xdr:col>
      <xdr:colOff>93890</xdr:colOff>
      <xdr:row>94</xdr:row>
      <xdr:rowOff>159196</xdr:rowOff>
    </xdr:to>
    <xdr:grpSp>
      <xdr:nvGrpSpPr>
        <xdr:cNvPr id="16" name="Group 23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GrpSpPr/>
      </xdr:nvGrpSpPr>
      <xdr:grpSpPr>
        <a:xfrm>
          <a:off x="1500473" y="16714113"/>
          <a:ext cx="1378658" cy="329952"/>
          <a:chOff x="3176167" y="13036693"/>
          <a:chExt cx="1472355" cy="445846"/>
        </a:xfrm>
      </xdr:grpSpPr>
      <xdr:cxnSp macro="">
        <xdr:nvCxnSpPr>
          <xdr:cNvPr id="17" name="Straight Connector 24">
            <a:extLst>
              <a:ext uri="{FF2B5EF4-FFF2-40B4-BE49-F238E27FC236}">
                <a16:creationId xmlns:a16="http://schemas.microsoft.com/office/drawing/2014/main" id="{00000000-0008-0000-0800-000011000000}"/>
              </a:ext>
            </a:extLst>
          </xdr:cNvPr>
          <xdr:cNvCxnSpPr/>
        </xdr:nvCxnSpPr>
        <xdr:spPr>
          <a:xfrm>
            <a:off x="3176167" y="13349187"/>
            <a:ext cx="58109" cy="125725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" name="Straight Connector 25">
            <a:extLst>
              <a:ext uri="{FF2B5EF4-FFF2-40B4-BE49-F238E27FC236}">
                <a16:creationId xmlns:a16="http://schemas.microsoft.com/office/drawing/2014/main" id="{00000000-0008-0000-0800-000012000000}"/>
              </a:ext>
            </a:extLst>
          </xdr:cNvPr>
          <xdr:cNvCxnSpPr/>
        </xdr:nvCxnSpPr>
        <xdr:spPr>
          <a:xfrm flipV="1">
            <a:off x="3241311" y="13036693"/>
            <a:ext cx="121612" cy="445846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" name="Straight Connector 26">
            <a:extLst>
              <a:ext uri="{FF2B5EF4-FFF2-40B4-BE49-F238E27FC236}">
                <a16:creationId xmlns:a16="http://schemas.microsoft.com/office/drawing/2014/main" id="{00000000-0008-0000-0800-000013000000}"/>
              </a:ext>
            </a:extLst>
          </xdr:cNvPr>
          <xdr:cNvCxnSpPr/>
        </xdr:nvCxnSpPr>
        <xdr:spPr>
          <a:xfrm flipV="1">
            <a:off x="3362923" y="13036693"/>
            <a:ext cx="1285599" cy="1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6803</xdr:colOff>
      <xdr:row>93</xdr:row>
      <xdr:rowOff>204107</xdr:rowOff>
    </xdr:from>
    <xdr:to>
      <xdr:col>6</xdr:col>
      <xdr:colOff>163286</xdr:colOff>
      <xdr:row>93</xdr:row>
      <xdr:rowOff>204107</xdr:rowOff>
    </xdr:to>
    <xdr:cxnSp macro="">
      <xdr:nvCxnSpPr>
        <xdr:cNvPr id="20" name="Straight Connector 27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CxnSpPr/>
      </xdr:nvCxnSpPr>
      <xdr:spPr>
        <a:xfrm>
          <a:off x="1654628" y="16529957"/>
          <a:ext cx="1108983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281266</xdr:colOff>
      <xdr:row>26</xdr:row>
      <xdr:rowOff>128308</xdr:rowOff>
    </xdr:from>
    <xdr:to>
      <xdr:col>13</xdr:col>
      <xdr:colOff>122703</xdr:colOff>
      <xdr:row>47</xdr:row>
      <xdr:rowOff>68737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475" t="32341" r="38226" b="14184"/>
        <a:stretch/>
      </xdr:blipFill>
      <xdr:spPr bwMode="auto">
        <a:xfrm>
          <a:off x="3367366" y="4976533"/>
          <a:ext cx="2584637" cy="3474204"/>
        </a:xfrm>
        <a:prstGeom prst="rect">
          <a:avLst/>
        </a:prstGeom>
        <a:solidFill>
          <a:schemeClr val="bg1"/>
        </a:solidFill>
      </xdr:spPr>
    </xdr:pic>
    <xdr:clientData/>
  </xdr:twoCellAnchor>
  <xdr:twoCellAnchor editAs="oneCell">
    <xdr:from>
      <xdr:col>3</xdr:col>
      <xdr:colOff>428625</xdr:colOff>
      <xdr:row>242</xdr:row>
      <xdr:rowOff>133350</xdr:rowOff>
    </xdr:from>
    <xdr:to>
      <xdr:col>12</xdr:col>
      <xdr:colOff>125730</xdr:colOff>
      <xdr:row>254</xdr:row>
      <xdr:rowOff>142603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/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001" t="31517" r="15676" b="27627"/>
        <a:stretch/>
      </xdr:blipFill>
      <xdr:spPr bwMode="auto">
        <a:xfrm>
          <a:off x="1628775" y="38833425"/>
          <a:ext cx="3878580" cy="1914253"/>
        </a:xfrm>
        <a:prstGeom prst="rect">
          <a:avLst/>
        </a:prstGeom>
        <a:solidFill>
          <a:schemeClr val="bg1"/>
        </a:solidFill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254000</xdr:colOff>
      <xdr:row>285</xdr:row>
      <xdr:rowOff>1</xdr:rowOff>
    </xdr:from>
    <xdr:to>
      <xdr:col>14</xdr:col>
      <xdr:colOff>117475</xdr:colOff>
      <xdr:row>296</xdr:row>
      <xdr:rowOff>84880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PicPr/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976" t="47082" r="18642" b="30739"/>
        <a:stretch/>
      </xdr:blipFill>
      <xdr:spPr bwMode="auto">
        <a:xfrm>
          <a:off x="673100" y="45710476"/>
          <a:ext cx="5721350" cy="1970828"/>
        </a:xfrm>
        <a:prstGeom prst="rect">
          <a:avLst/>
        </a:prstGeom>
        <a:solidFill>
          <a:schemeClr val="bg1"/>
        </a:solidFill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7</xdr:col>
      <xdr:colOff>326571</xdr:colOff>
      <xdr:row>6</xdr:row>
      <xdr:rowOff>176893</xdr:rowOff>
    </xdr:from>
    <xdr:to>
      <xdr:col>14</xdr:col>
      <xdr:colOff>149679</xdr:colOff>
      <xdr:row>23</xdr:row>
      <xdr:rowOff>104662</xdr:rowOff>
    </xdr:to>
    <xdr:graphicFrame macro="">
      <xdr:nvGraphicFramePr>
        <xdr:cNvPr id="24" name="Chart 3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500262</xdr:colOff>
      <xdr:row>4</xdr:row>
      <xdr:rowOff>6268</xdr:rowOff>
    </xdr:from>
    <xdr:to>
      <xdr:col>21</xdr:col>
      <xdr:colOff>242869</xdr:colOff>
      <xdr:row>27</xdr:row>
      <xdr:rowOff>86488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25262" y="659411"/>
          <a:ext cx="4505107" cy="3835791"/>
        </a:xfrm>
        <a:prstGeom prst="rect">
          <a:avLst/>
        </a:prstGeom>
      </xdr:spPr>
    </xdr:pic>
    <xdr:clientData/>
  </xdr:twoCellAnchor>
  <xdr:twoCellAnchor editAs="oneCell">
    <xdr:from>
      <xdr:col>8</xdr:col>
      <xdr:colOff>47751</xdr:colOff>
      <xdr:row>2</xdr:row>
      <xdr:rowOff>30331</xdr:rowOff>
    </xdr:from>
    <xdr:to>
      <xdr:col>13</xdr:col>
      <xdr:colOff>114248</xdr:colOff>
      <xdr:row>25</xdr:row>
      <xdr:rowOff>101436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t="3714"/>
        <a:stretch/>
      </xdr:blipFill>
      <xdr:spPr>
        <a:xfrm>
          <a:off x="11553951" y="1163806"/>
          <a:ext cx="3495497" cy="3795380"/>
        </a:xfrm>
        <a:prstGeom prst="rect">
          <a:avLst/>
        </a:prstGeom>
      </xdr:spPr>
    </xdr:pic>
    <xdr:clientData/>
  </xdr:twoCellAnchor>
  <xdr:twoCellAnchor editAs="oneCell">
    <xdr:from>
      <xdr:col>0</xdr:col>
      <xdr:colOff>443815</xdr:colOff>
      <xdr:row>3</xdr:row>
      <xdr:rowOff>53966</xdr:rowOff>
    </xdr:from>
    <xdr:to>
      <xdr:col>7</xdr:col>
      <xdr:colOff>85058</xdr:colOff>
      <xdr:row>26</xdr:row>
      <xdr:rowOff>32591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3815" y="543823"/>
          <a:ext cx="4403743" cy="373419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45720</xdr:colOff>
          <xdr:row>33</xdr:row>
          <xdr:rowOff>7620</xdr:rowOff>
        </xdr:from>
        <xdr:to>
          <xdr:col>12</xdr:col>
          <xdr:colOff>388620</xdr:colOff>
          <xdr:row>50</xdr:row>
          <xdr:rowOff>137160</xdr:rowOff>
        </xdr:to>
        <xdr:sp macro="" textlink="">
          <xdr:nvSpPr>
            <xdr:cNvPr id="163841" name="Object 1" hidden="1">
              <a:extLst>
                <a:ext uri="{63B3BB69-23CF-44E3-9099-C40C66FF867C}">
                  <a14:compatExt spid="_x0000_s163841"/>
                </a:ext>
                <a:ext uri="{FF2B5EF4-FFF2-40B4-BE49-F238E27FC236}">
                  <a16:creationId xmlns:a16="http://schemas.microsoft.com/office/drawing/2014/main" id="{00000000-0008-0000-0300-00000180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1</xdr:col>
      <xdr:colOff>131989</xdr:colOff>
      <xdr:row>32</xdr:row>
      <xdr:rowOff>73479</xdr:rowOff>
    </xdr:from>
    <xdr:to>
      <xdr:col>5</xdr:col>
      <xdr:colOff>513352</xdr:colOff>
      <xdr:row>40</xdr:row>
      <xdr:rowOff>90261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61389" y="10008054"/>
          <a:ext cx="3124563" cy="1312182"/>
        </a:xfrm>
        <a:prstGeom prst="rect">
          <a:avLst/>
        </a:prstGeom>
      </xdr:spPr>
    </xdr:pic>
    <xdr:clientData/>
  </xdr:twoCellAnchor>
  <xdr:twoCellAnchor editAs="oneCell">
    <xdr:from>
      <xdr:col>2</xdr:col>
      <xdr:colOff>675316</xdr:colOff>
      <xdr:row>80</xdr:row>
      <xdr:rowOff>19653</xdr:rowOff>
    </xdr:from>
    <xdr:to>
      <xdr:col>10</xdr:col>
      <xdr:colOff>200747</xdr:colOff>
      <xdr:row>109</xdr:row>
      <xdr:rowOff>118138</xdr:rowOff>
    </xdr:to>
    <xdr:pic>
      <xdr:nvPicPr>
        <xdr:cNvPr id="7" name="Picture 21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036030" y="13109724"/>
          <a:ext cx="4968288" cy="483377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56</xdr:row>
      <xdr:rowOff>0</xdr:rowOff>
    </xdr:from>
    <xdr:to>
      <xdr:col>11</xdr:col>
      <xdr:colOff>456168</xdr:colOff>
      <xdr:row>73</xdr:row>
      <xdr:rowOff>37344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60714" y="9171214"/>
          <a:ext cx="6579383" cy="281320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116</xdr:row>
      <xdr:rowOff>163285</xdr:rowOff>
    </xdr:from>
    <xdr:to>
      <xdr:col>16</xdr:col>
      <xdr:colOff>81639</xdr:colOff>
      <xdr:row>129</xdr:row>
      <xdr:rowOff>54428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41071" y="19131642"/>
          <a:ext cx="8926282" cy="20138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190500</xdr:colOff>
          <xdr:row>26</xdr:row>
          <xdr:rowOff>83820</xdr:rowOff>
        </xdr:from>
        <xdr:to>
          <xdr:col>30</xdr:col>
          <xdr:colOff>76200</xdr:colOff>
          <xdr:row>56</xdr:row>
          <xdr:rowOff>160020</xdr:rowOff>
        </xdr:to>
        <xdr:sp macro="" textlink="">
          <xdr:nvSpPr>
            <xdr:cNvPr id="112641" name="Object 1" hidden="1">
              <a:extLst>
                <a:ext uri="{63B3BB69-23CF-44E3-9099-C40C66FF867C}">
                  <a14:compatExt spid="_x0000_s112641"/>
                </a:ext>
                <a:ext uri="{FF2B5EF4-FFF2-40B4-BE49-F238E27FC236}">
                  <a16:creationId xmlns:a16="http://schemas.microsoft.com/office/drawing/2014/main" id="{00000000-0008-0000-0500-000001B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image" Target="../media/image6.emf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14.emf"/><Relationship Id="rId4" Type="http://schemas.openxmlformats.org/officeDocument/2006/relationships/oleObject" Target="../embeddings/oleObject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1"/>
  <sheetViews>
    <sheetView zoomScale="115" zoomScaleNormal="115" workbookViewId="0">
      <selection activeCell="A3" sqref="A3"/>
    </sheetView>
  </sheetViews>
  <sheetFormatPr baseColWidth="10" defaultRowHeight="13.8"/>
  <sheetData>
    <row r="1" spans="1:27">
      <c r="A1" s="218"/>
      <c r="B1" s="219"/>
      <c r="C1" s="219"/>
      <c r="D1" s="219"/>
      <c r="E1" s="219"/>
      <c r="F1" s="219"/>
      <c r="G1" s="220"/>
      <c r="H1" s="210"/>
      <c r="I1" s="210"/>
      <c r="J1" s="210"/>
      <c r="K1" s="210"/>
      <c r="L1" s="210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</row>
    <row r="2" spans="1:27">
      <c r="A2" s="221"/>
      <c r="B2" s="215"/>
      <c r="C2" s="215"/>
      <c r="D2" s="215"/>
      <c r="E2" s="212"/>
      <c r="F2" s="212"/>
      <c r="G2" s="222"/>
      <c r="H2" s="211"/>
      <c r="I2" s="211"/>
      <c r="J2" s="211"/>
      <c r="K2" s="211"/>
      <c r="L2" s="211"/>
      <c r="M2" s="1"/>
      <c r="N2" s="1"/>
      <c r="O2" s="1"/>
      <c r="P2" s="1"/>
      <c r="Q2" s="1"/>
      <c r="R2" s="1"/>
      <c r="T2" s="1"/>
      <c r="U2" s="1"/>
      <c r="V2" s="1"/>
      <c r="W2" s="1"/>
      <c r="X2" s="1"/>
      <c r="Y2" s="1"/>
      <c r="Z2" s="1"/>
      <c r="AA2" s="1"/>
    </row>
    <row r="3" spans="1:27">
      <c r="A3" s="223" t="s">
        <v>388</v>
      </c>
      <c r="B3" s="213"/>
      <c r="C3" s="213"/>
      <c r="D3" s="216"/>
      <c r="E3" s="212"/>
      <c r="F3" s="212"/>
      <c r="G3" s="222"/>
      <c r="H3" s="211"/>
      <c r="I3" s="211"/>
      <c r="J3" s="211"/>
      <c r="K3" s="211"/>
      <c r="L3" s="211"/>
      <c r="M3" s="1"/>
      <c r="N3" s="1"/>
      <c r="O3" s="1"/>
      <c r="P3" s="1"/>
      <c r="Q3" s="1"/>
      <c r="R3" s="1"/>
      <c r="T3" s="1"/>
      <c r="U3" s="1"/>
      <c r="V3" s="1"/>
      <c r="W3" s="1"/>
      <c r="X3" s="1"/>
      <c r="Y3" s="1"/>
      <c r="Z3" s="1"/>
      <c r="AA3" s="1"/>
    </row>
    <row r="4" spans="1:27">
      <c r="A4" s="223" t="s">
        <v>389</v>
      </c>
      <c r="B4" s="213"/>
      <c r="C4" s="213"/>
      <c r="D4" s="217"/>
      <c r="E4" s="212"/>
      <c r="F4" s="212"/>
      <c r="G4" s="222"/>
      <c r="H4" s="211"/>
      <c r="I4" s="211"/>
      <c r="J4" s="211"/>
      <c r="K4" s="211"/>
      <c r="L4" s="21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>
      <c r="A5" s="223" t="s">
        <v>390</v>
      </c>
      <c r="B5" s="213"/>
      <c r="C5" s="213"/>
      <c r="D5" s="217" t="s">
        <v>391</v>
      </c>
      <c r="E5" s="212"/>
      <c r="F5" s="212"/>
      <c r="G5" s="222"/>
      <c r="H5" s="211"/>
      <c r="I5" s="211"/>
      <c r="J5" s="211"/>
      <c r="K5" s="211"/>
      <c r="L5" s="21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>
      <c r="A6" s="223" t="s">
        <v>392</v>
      </c>
      <c r="B6" s="213"/>
      <c r="C6" s="213"/>
      <c r="D6" s="217"/>
      <c r="E6" s="212"/>
      <c r="F6" s="212"/>
      <c r="G6" s="222"/>
      <c r="H6" s="211"/>
      <c r="I6" s="211"/>
      <c r="J6" s="211"/>
      <c r="K6" s="211"/>
      <c r="L6" s="21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>
      <c r="A7" s="223" t="s">
        <v>393</v>
      </c>
      <c r="B7" s="213"/>
      <c r="C7" s="213"/>
      <c r="D7" s="217"/>
      <c r="E7" s="212"/>
      <c r="F7" s="212"/>
      <c r="G7" s="222"/>
      <c r="H7" s="211"/>
      <c r="I7" s="211"/>
      <c r="J7" s="211"/>
      <c r="K7" s="211"/>
      <c r="L7" s="21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>
      <c r="A8" s="223" t="s">
        <v>394</v>
      </c>
      <c r="B8" s="215"/>
      <c r="C8" s="215"/>
      <c r="D8" s="217"/>
      <c r="E8" s="212"/>
      <c r="F8" s="212"/>
      <c r="G8" s="222"/>
      <c r="H8" s="211"/>
      <c r="I8" s="211"/>
      <c r="J8" s="211"/>
      <c r="K8" s="211"/>
      <c r="L8" s="21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5.6">
      <c r="A9" s="221"/>
      <c r="B9" s="215"/>
      <c r="C9" s="215"/>
      <c r="D9" s="215"/>
      <c r="E9" s="212"/>
      <c r="F9" s="212"/>
      <c r="G9" s="224"/>
      <c r="H9" s="211"/>
      <c r="I9" s="211"/>
      <c r="J9" s="211"/>
      <c r="K9" s="211"/>
      <c r="L9" s="21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>
      <c r="A10" s="221"/>
      <c r="B10" s="215"/>
      <c r="C10" s="215"/>
      <c r="D10" s="215"/>
      <c r="E10" s="212"/>
      <c r="F10" s="212"/>
      <c r="G10" s="222"/>
      <c r="H10" s="211"/>
      <c r="I10" s="211"/>
      <c r="J10" s="211"/>
      <c r="K10" s="211"/>
      <c r="L10" s="21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4.4" thickBot="1">
      <c r="A11" s="225"/>
      <c r="B11" s="226"/>
      <c r="C11" s="226"/>
      <c r="D11" s="226"/>
      <c r="E11" s="226"/>
      <c r="F11" s="226"/>
      <c r="G11" s="227"/>
      <c r="H11" s="211"/>
      <c r="I11" s="211"/>
      <c r="J11" s="211"/>
      <c r="K11" s="211"/>
      <c r="L11" s="21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6">
      <c r="A12" s="212"/>
      <c r="B12" s="212"/>
      <c r="C12" s="212"/>
      <c r="D12" s="212"/>
      <c r="E12" s="212"/>
      <c r="F12" s="212"/>
      <c r="G12" s="214"/>
      <c r="H12" s="211"/>
      <c r="I12" s="211"/>
      <c r="J12" s="211"/>
      <c r="K12" s="211"/>
      <c r="L12" s="21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>
      <c r="A13" s="212"/>
      <c r="B13" s="212"/>
      <c r="C13" s="212"/>
      <c r="D13" s="212"/>
      <c r="E13" s="212"/>
      <c r="F13" s="212"/>
      <c r="G13" s="212"/>
      <c r="H13" s="211"/>
      <c r="I13" s="211"/>
      <c r="J13" s="211"/>
      <c r="K13" s="211"/>
      <c r="L13" s="21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5.6">
      <c r="A14" s="212"/>
      <c r="B14" s="212"/>
      <c r="C14" s="212"/>
      <c r="D14" s="212"/>
      <c r="E14" s="212"/>
      <c r="F14" s="214"/>
      <c r="G14" s="212"/>
      <c r="H14" s="215" t="s">
        <v>395</v>
      </c>
      <c r="I14" s="211"/>
      <c r="J14" s="211"/>
      <c r="K14" s="211"/>
      <c r="L14" s="21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>
      <c r="A15" s="211"/>
      <c r="B15" s="211"/>
      <c r="C15" s="211"/>
      <c r="D15" s="211"/>
      <c r="E15" s="211"/>
      <c r="F15" s="211"/>
      <c r="G15" s="211"/>
      <c r="H15" s="211"/>
      <c r="I15" s="211"/>
      <c r="J15" s="211"/>
      <c r="K15" s="211"/>
      <c r="L15" s="21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>
      <c r="A16" s="211"/>
      <c r="B16" s="211"/>
      <c r="C16" s="211"/>
      <c r="D16" s="211"/>
      <c r="E16" s="211"/>
      <c r="F16" s="211"/>
      <c r="G16" s="211"/>
      <c r="H16" s="211"/>
      <c r="I16" s="211"/>
      <c r="J16" s="211"/>
      <c r="K16" s="211"/>
      <c r="L16" s="21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>
      <c r="A17" s="211"/>
      <c r="B17" s="211"/>
      <c r="C17" s="211"/>
      <c r="D17" s="211"/>
      <c r="E17" s="211"/>
      <c r="F17" s="211"/>
      <c r="G17" s="211"/>
      <c r="H17" s="211"/>
      <c r="I17" s="211"/>
      <c r="J17" s="211"/>
      <c r="K17" s="211"/>
      <c r="L17" s="21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>
      <c r="A18" s="211"/>
      <c r="B18" s="211"/>
      <c r="C18" s="211"/>
      <c r="D18" s="211"/>
      <c r="E18" s="211"/>
      <c r="F18" s="211"/>
      <c r="G18" s="211"/>
      <c r="H18" s="211"/>
      <c r="I18" s="211"/>
      <c r="J18" s="211"/>
      <c r="K18" s="211"/>
      <c r="L18" s="21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>
      <c r="A19" s="211"/>
      <c r="B19" s="211"/>
      <c r="C19" s="211"/>
      <c r="D19" s="211"/>
      <c r="E19" s="211"/>
      <c r="F19" s="211"/>
      <c r="G19" s="211"/>
      <c r="H19" s="211"/>
      <c r="I19" s="211"/>
      <c r="J19" s="211"/>
      <c r="K19" s="211"/>
      <c r="L19" s="21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>
      <c r="A20" s="211"/>
      <c r="B20" s="211"/>
      <c r="C20" s="211"/>
      <c r="D20" s="211"/>
      <c r="E20" s="211"/>
      <c r="F20" s="211"/>
      <c r="G20" s="211"/>
      <c r="H20" s="211"/>
      <c r="I20" s="211"/>
      <c r="J20" s="211"/>
      <c r="K20" s="211"/>
      <c r="L20" s="21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>
      <c r="A21" s="211"/>
      <c r="B21" s="211"/>
      <c r="C21" s="211"/>
      <c r="D21" s="211"/>
      <c r="E21" s="211"/>
      <c r="F21" s="211"/>
      <c r="G21" s="211"/>
      <c r="H21" s="211"/>
      <c r="I21" s="211"/>
      <c r="J21" s="211"/>
      <c r="K21" s="211"/>
      <c r="L21" s="21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>
      <c r="A22" s="211"/>
      <c r="B22" s="211"/>
      <c r="C22" s="211"/>
      <c r="D22" s="211"/>
      <c r="E22" s="211"/>
      <c r="F22" s="211"/>
      <c r="G22" s="211"/>
      <c r="H22" s="211"/>
      <c r="I22" s="211"/>
      <c r="J22" s="211"/>
      <c r="K22" s="211"/>
      <c r="L22" s="21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>
      <c r="A23" s="211"/>
      <c r="B23" s="211"/>
      <c r="C23" s="211"/>
      <c r="D23" s="211"/>
      <c r="E23" s="211"/>
      <c r="F23" s="211"/>
      <c r="G23" s="211"/>
      <c r="H23" s="211"/>
      <c r="I23" s="211"/>
      <c r="J23" s="211"/>
      <c r="K23" s="211"/>
      <c r="L23" s="21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>
      <c r="A24" s="211"/>
      <c r="B24" s="211"/>
      <c r="C24" s="211"/>
      <c r="D24" s="211"/>
      <c r="E24" s="211"/>
      <c r="F24" s="211"/>
      <c r="G24" s="211"/>
      <c r="H24" s="211"/>
      <c r="I24" s="211"/>
      <c r="J24" s="211"/>
      <c r="K24" s="211"/>
      <c r="L24" s="21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>
      <c r="A25" s="211"/>
      <c r="B25" s="211"/>
      <c r="C25" s="211"/>
      <c r="D25" s="211"/>
      <c r="E25" s="211"/>
      <c r="F25" s="211"/>
      <c r="G25" s="211"/>
      <c r="H25" s="211"/>
      <c r="I25" s="211"/>
      <c r="J25" s="211"/>
      <c r="K25" s="211"/>
      <c r="L25" s="21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>
      <c r="A26" s="1"/>
      <c r="B26" s="130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>
      <c r="A27" s="130"/>
      <c r="B27" s="206"/>
      <c r="C27" s="130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>
      <c r="A28" s="1"/>
      <c r="B28" s="229"/>
      <c r="C28" s="230"/>
      <c r="D28" s="97"/>
      <c r="E28" s="97"/>
      <c r="F28" s="1"/>
      <c r="G28" s="1"/>
      <c r="H28" s="1"/>
      <c r="I28" s="1"/>
      <c r="J28" s="1"/>
      <c r="K28" s="6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>
      <c r="B29" s="1"/>
      <c r="C29" s="1"/>
      <c r="D29" s="204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>
      <c r="B30" s="1"/>
      <c r="C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>
      <c r="B31" s="1"/>
      <c r="C31" s="1"/>
      <c r="D31" s="25"/>
      <c r="E31" s="97"/>
      <c r="F31" s="140"/>
      <c r="G31" s="141"/>
      <c r="H31" s="142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>
      <c r="A32" s="1"/>
      <c r="B32" s="166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27">
      <c r="B36" s="1"/>
      <c r="C36" s="1"/>
      <c r="D36" s="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27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P37" s="143"/>
      <c r="Q37" s="143"/>
    </row>
    <row r="38" spans="1:27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P38" s="143"/>
      <c r="Q38" s="143"/>
    </row>
    <row r="39" spans="1:27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P39" s="143"/>
      <c r="Q39" s="143"/>
    </row>
    <row r="40" spans="1:27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P40" s="143"/>
      <c r="Q40" s="143"/>
    </row>
    <row r="41" spans="1:27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P41" s="143"/>
      <c r="Q41" s="143"/>
    </row>
    <row r="42" spans="1:27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P42" s="143"/>
      <c r="Q42" s="143"/>
    </row>
    <row r="43" spans="1:27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P43" s="143"/>
      <c r="Q43" s="143"/>
    </row>
    <row r="44" spans="1:27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27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27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27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27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2:17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2:17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2:17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</sheetData>
  <mergeCells count="1">
    <mergeCell ref="B28:C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</sheetPr>
  <dimension ref="A1:AH357"/>
  <sheetViews>
    <sheetView showGridLines="0" tabSelected="1" view="pageBreakPreview" topLeftCell="A281" zoomScale="145" zoomScaleNormal="100" zoomScaleSheetLayoutView="145" workbookViewId="0">
      <selection activeCell="Q145" sqref="Q145"/>
    </sheetView>
  </sheetViews>
  <sheetFormatPr baseColWidth="10" defaultColWidth="7.875" defaultRowHeight="13.8"/>
  <cols>
    <col min="1" max="1" width="7.375" style="1" customWidth="1"/>
    <col min="2" max="2" width="5.875" style="1" customWidth="1"/>
    <col min="3" max="5" width="7.875" style="1" customWidth="1"/>
    <col min="6" max="6" width="8.875" style="1" customWidth="1"/>
    <col min="7" max="7" width="8.5" style="1" customWidth="1"/>
    <col min="8" max="8" width="7.875" style="1" customWidth="1"/>
    <col min="9" max="9" width="8.125" style="1" customWidth="1"/>
    <col min="10" max="10" width="8.5" style="1" customWidth="1"/>
    <col min="11" max="14" width="7.875" style="1" customWidth="1"/>
    <col min="15" max="15" width="6.125" style="1" customWidth="1"/>
    <col min="16" max="16" width="8.875" style="1" customWidth="1"/>
    <col min="17" max="17" width="10.625" style="1" customWidth="1"/>
    <col min="18" max="18" width="11.5" style="1" customWidth="1"/>
    <col min="19" max="19" width="12.875" style="1" customWidth="1"/>
    <col min="20" max="20" width="7.875" style="1"/>
    <col min="21" max="21" width="10.125" style="1" customWidth="1"/>
    <col min="22" max="16384" width="7.875" style="1"/>
  </cols>
  <sheetData>
    <row r="1" spans="2:23">
      <c r="P1" s="177"/>
      <c r="Q1" s="177"/>
      <c r="R1" s="177"/>
    </row>
    <row r="2" spans="2:23" s="126" customFormat="1" ht="12.75" customHeight="1">
      <c r="B2" s="233" t="s">
        <v>364</v>
      </c>
      <c r="C2" s="234"/>
      <c r="D2" s="234"/>
      <c r="E2" s="235"/>
      <c r="F2" s="236">
        <f>DATOS!D6</f>
        <v>0</v>
      </c>
      <c r="G2" s="237"/>
      <c r="H2" s="237"/>
      <c r="I2" s="237"/>
      <c r="J2" s="237"/>
      <c r="K2" s="238"/>
      <c r="L2" s="242">
        <f>DATOS!D7</f>
        <v>0</v>
      </c>
      <c r="M2" s="242"/>
      <c r="N2" s="242"/>
      <c r="O2" s="242"/>
      <c r="P2" s="177"/>
      <c r="Q2" s="177"/>
      <c r="R2" s="177"/>
    </row>
    <row r="3" spans="2:23" s="126" customFormat="1" ht="17.25" customHeight="1">
      <c r="B3" s="233"/>
      <c r="C3" s="234"/>
      <c r="D3" s="234"/>
      <c r="E3" s="235"/>
      <c r="F3" s="239"/>
      <c r="G3" s="240"/>
      <c r="H3" s="240"/>
      <c r="I3" s="240"/>
      <c r="J3" s="240"/>
      <c r="K3" s="241"/>
      <c r="L3" s="242">
        <f>DATOS!D8</f>
        <v>0</v>
      </c>
      <c r="M3" s="242"/>
      <c r="N3" s="242"/>
      <c r="O3" s="242"/>
      <c r="P3" s="177"/>
      <c r="Q3" s="177"/>
      <c r="R3" s="177"/>
    </row>
    <row r="4" spans="2:23" s="126" customFormat="1" ht="17.25" customHeight="1">
      <c r="B4" s="198"/>
      <c r="C4" s="198"/>
      <c r="D4" s="198"/>
      <c r="E4" s="198"/>
      <c r="F4" s="199"/>
      <c r="G4" s="199"/>
      <c r="H4" s="199"/>
      <c r="I4" s="199"/>
      <c r="J4" s="199"/>
      <c r="K4" s="199"/>
      <c r="L4" s="200"/>
      <c r="M4" s="200"/>
      <c r="N4" s="200"/>
      <c r="O4" s="200"/>
      <c r="P4" s="177"/>
      <c r="Q4" s="177"/>
      <c r="R4" s="177"/>
    </row>
    <row r="5" spans="2:23" s="126" customFormat="1" ht="12.75" customHeight="1">
      <c r="B5" s="164"/>
      <c r="C5" s="164"/>
      <c r="D5" s="163"/>
      <c r="E5" s="163"/>
      <c r="F5" s="163"/>
      <c r="G5" s="163"/>
      <c r="H5" s="163"/>
      <c r="I5" s="163"/>
      <c r="J5" s="163"/>
      <c r="K5" s="163"/>
      <c r="L5" s="163"/>
      <c r="M5" s="127"/>
    </row>
    <row r="6" spans="2:23" ht="14.4">
      <c r="B6" s="129" t="s">
        <v>121</v>
      </c>
      <c r="C6" s="165">
        <v>5.5</v>
      </c>
      <c r="R6"/>
      <c r="W6"/>
    </row>
    <row r="7" spans="2:23" ht="14.4">
      <c r="B7" s="129"/>
      <c r="C7" s="165"/>
    </row>
    <row r="8" spans="2:23">
      <c r="B8"/>
      <c r="C8"/>
      <c r="D8"/>
      <c r="E8"/>
      <c r="F8"/>
      <c r="G8"/>
      <c r="H8"/>
      <c r="I8"/>
      <c r="J8"/>
      <c r="K8"/>
      <c r="L8"/>
      <c r="M8"/>
      <c r="N8"/>
      <c r="O8"/>
    </row>
    <row r="9" spans="2:23" ht="14.4">
      <c r="B9" s="129"/>
      <c r="C9" s="165"/>
    </row>
    <row r="10" spans="2:23">
      <c r="B10"/>
      <c r="C10"/>
      <c r="D10"/>
      <c r="E10"/>
      <c r="F10"/>
      <c r="G10"/>
      <c r="H10"/>
      <c r="I10"/>
      <c r="J10"/>
      <c r="K10"/>
      <c r="L10"/>
      <c r="M10"/>
      <c r="N10"/>
      <c r="O10"/>
    </row>
    <row r="11" spans="2:23" ht="14.4">
      <c r="B11" s="129"/>
      <c r="C11" s="165"/>
    </row>
    <row r="12" spans="2:23"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2:23" ht="14.4">
      <c r="B13" s="129"/>
      <c r="C13" s="165"/>
    </row>
    <row r="14" spans="2:23"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R14"/>
      <c r="W14"/>
    </row>
    <row r="15" spans="2:23" ht="14.4">
      <c r="B15" s="129"/>
      <c r="C15" s="165"/>
    </row>
    <row r="16" spans="2:23">
      <c r="B16"/>
      <c r="C16"/>
      <c r="D16"/>
      <c r="E16"/>
      <c r="F16"/>
      <c r="G16"/>
      <c r="H16"/>
      <c r="I16"/>
      <c r="J16"/>
      <c r="K16"/>
      <c r="L16"/>
      <c r="M16"/>
      <c r="N16"/>
      <c r="O16"/>
    </row>
    <row r="17" spans="2:27" ht="14.4">
      <c r="B17" s="129"/>
      <c r="C17" s="165"/>
    </row>
    <row r="18" spans="2:27">
      <c r="B18"/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2:27" ht="14.4">
      <c r="B19" s="129"/>
      <c r="C19" s="165"/>
    </row>
    <row r="20" spans="2:27"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2:27" ht="14.4">
      <c r="B21" s="129"/>
      <c r="C21" s="165"/>
    </row>
    <row r="22" spans="2:27"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R22"/>
      <c r="W22"/>
    </row>
    <row r="23" spans="2:27" ht="14.4">
      <c r="B23" s="129"/>
      <c r="C23" s="165"/>
    </row>
    <row r="24" spans="2:27">
      <c r="B24"/>
      <c r="C24"/>
      <c r="D24"/>
      <c r="E24"/>
      <c r="F24"/>
      <c r="G24"/>
      <c r="H24"/>
      <c r="I24"/>
      <c r="J24"/>
      <c r="K24"/>
      <c r="L24"/>
      <c r="M24"/>
      <c r="N24"/>
      <c r="O24"/>
    </row>
    <row r="25" spans="2:27" ht="14.4">
      <c r="B25" s="129"/>
      <c r="C25" s="165"/>
      <c r="R25"/>
      <c r="W25"/>
    </row>
    <row r="26" spans="2:27">
      <c r="B26"/>
      <c r="C26"/>
      <c r="D26"/>
      <c r="E26"/>
      <c r="F26"/>
      <c r="G26"/>
      <c r="H26"/>
      <c r="I26"/>
      <c r="J26"/>
      <c r="K26"/>
      <c r="L26"/>
      <c r="M26"/>
      <c r="N26"/>
      <c r="O26"/>
    </row>
    <row r="27" spans="2:27">
      <c r="B27" s="95" t="s">
        <v>220</v>
      </c>
    </row>
    <row r="28" spans="2:27">
      <c r="B28" s="1" t="s">
        <v>36</v>
      </c>
      <c r="C28" s="143">
        <f>+C31+C32+C30</f>
        <v>6.15</v>
      </c>
      <c r="D28" s="1" t="s">
        <v>0</v>
      </c>
      <c r="E28" t="s">
        <v>260</v>
      </c>
      <c r="G28"/>
    </row>
    <row r="29" spans="2:27">
      <c r="B29" t="s">
        <v>213</v>
      </c>
      <c r="C29" s="143">
        <f>C31+C30</f>
        <v>5.5</v>
      </c>
      <c r="D29" t="s">
        <v>261</v>
      </c>
      <c r="E29" t="s">
        <v>262</v>
      </c>
      <c r="G29"/>
    </row>
    <row r="30" spans="2:27" ht="15.6" thickBot="1">
      <c r="B30" s="1" t="s">
        <v>55</v>
      </c>
      <c r="C30" s="132">
        <v>0</v>
      </c>
      <c r="D30" s="1" t="s">
        <v>0</v>
      </c>
      <c r="E30" s="1" t="s">
        <v>45</v>
      </c>
      <c r="R30" s="130"/>
    </row>
    <row r="31" spans="2:27">
      <c r="B31" t="s">
        <v>215</v>
      </c>
      <c r="C31" s="143">
        <f>+C6</f>
        <v>5.5</v>
      </c>
      <c r="D31" s="1" t="s">
        <v>0</v>
      </c>
      <c r="E31" t="s">
        <v>263</v>
      </c>
      <c r="Q31" s="207"/>
      <c r="R31" s="208" t="s">
        <v>219</v>
      </c>
      <c r="S31" s="209"/>
      <c r="T31" s="11"/>
      <c r="U31" s="11"/>
      <c r="V31" s="11"/>
      <c r="W31" s="91"/>
    </row>
    <row r="32" spans="2:27">
      <c r="B32" t="s">
        <v>214</v>
      </c>
      <c r="C32" s="132">
        <v>0.65</v>
      </c>
      <c r="D32" s="1" t="s">
        <v>0</v>
      </c>
      <c r="E32" t="s">
        <v>264</v>
      </c>
      <c r="Q32" s="94"/>
      <c r="R32" s="231" t="s">
        <v>108</v>
      </c>
      <c r="S32" s="232"/>
      <c r="T32" s="133" t="s">
        <v>135</v>
      </c>
      <c r="U32" s="133" t="s">
        <v>134</v>
      </c>
      <c r="W32" s="92"/>
      <c r="AA32" s="6"/>
    </row>
    <row r="33" spans="2:27">
      <c r="Q33" s="93" t="s">
        <v>214</v>
      </c>
      <c r="R33" s="230"/>
      <c r="S33" s="230"/>
      <c r="T33" s="14"/>
      <c r="U33" s="14"/>
      <c r="W33" s="92"/>
      <c r="AA33" s="6"/>
    </row>
    <row r="34" spans="2:27">
      <c r="B34" t="s">
        <v>216</v>
      </c>
      <c r="C34" s="132">
        <v>1</v>
      </c>
      <c r="D34" s="1" t="s">
        <v>0</v>
      </c>
      <c r="E34" t="s">
        <v>122</v>
      </c>
      <c r="Q34" s="93" t="s">
        <v>216</v>
      </c>
      <c r="R34" s="230" t="s">
        <v>38</v>
      </c>
      <c r="S34" s="230"/>
      <c r="T34" s="14">
        <f>C37/4</f>
        <v>0.92500000000000004</v>
      </c>
      <c r="U34" s="14">
        <f>C37/3</f>
        <v>1.2333333333333334</v>
      </c>
      <c r="W34" s="92"/>
      <c r="AA34" s="6"/>
    </row>
    <row r="35" spans="2:27" ht="15">
      <c r="B35" t="s">
        <v>217</v>
      </c>
      <c r="C35" s="132">
        <v>0.1</v>
      </c>
      <c r="D35" s="1" t="s">
        <v>0</v>
      </c>
      <c r="E35" s="1" t="s">
        <v>44</v>
      </c>
      <c r="Q35" s="93" t="s">
        <v>218</v>
      </c>
      <c r="R35" s="230" t="s">
        <v>39</v>
      </c>
      <c r="S35" s="230"/>
      <c r="T35" s="14" t="s">
        <v>81</v>
      </c>
      <c r="U35" s="14">
        <f>2*U34</f>
        <v>2.4666666666666668</v>
      </c>
      <c r="W35" s="92"/>
      <c r="AA35" s="6"/>
    </row>
    <row r="36" spans="2:27" ht="15.6" thickBot="1">
      <c r="B36" t="s">
        <v>218</v>
      </c>
      <c r="C36" s="132">
        <v>2.6</v>
      </c>
      <c r="D36" s="1" t="s">
        <v>0</v>
      </c>
      <c r="E36" s="1" t="s">
        <v>43</v>
      </c>
      <c r="Q36" s="98" t="s">
        <v>37</v>
      </c>
      <c r="R36" s="247" t="s">
        <v>40</v>
      </c>
      <c r="S36" s="247"/>
      <c r="T36" s="10">
        <f>0.4*C28</f>
        <v>2.4600000000000004</v>
      </c>
      <c r="U36" s="10">
        <f>0.7*C28</f>
        <v>4.3049999999999997</v>
      </c>
      <c r="V36" s="8"/>
      <c r="W36" s="99"/>
      <c r="AA36" s="6"/>
    </row>
    <row r="37" spans="2:27">
      <c r="B37" s="1" t="s">
        <v>37</v>
      </c>
      <c r="C37" s="143">
        <f>C34+C35+C36</f>
        <v>3.7</v>
      </c>
      <c r="D37" s="1" t="s">
        <v>0</v>
      </c>
      <c r="E37" s="1" t="s">
        <v>42</v>
      </c>
      <c r="AA37" s="6"/>
    </row>
    <row r="38" spans="2:27">
      <c r="B38" t="s">
        <v>221</v>
      </c>
      <c r="C38" s="132">
        <v>2</v>
      </c>
      <c r="E38" t="s">
        <v>222</v>
      </c>
      <c r="AA38" s="6"/>
    </row>
    <row r="39" spans="2:27">
      <c r="B39" t="s">
        <v>223</v>
      </c>
      <c r="C39" s="132">
        <v>2.4</v>
      </c>
      <c r="E39" s="128" t="s">
        <v>224</v>
      </c>
      <c r="L39" s="3"/>
    </row>
    <row r="40" spans="2:27">
      <c r="B40" s="170" t="s">
        <v>250</v>
      </c>
      <c r="C40" s="132"/>
      <c r="D40" s="95" t="s">
        <v>379</v>
      </c>
      <c r="E40" s="205" t="s">
        <v>372</v>
      </c>
      <c r="L40" s="3"/>
      <c r="R40" s="204"/>
    </row>
    <row r="41" spans="2:27">
      <c r="B41" t="s">
        <v>202</v>
      </c>
      <c r="C41" s="132">
        <f>VLOOKUP($E$40,'Base de datos '!$A$3:$H$18,2,FALSE)</f>
        <v>0.33</v>
      </c>
      <c r="D41" t="s">
        <v>0</v>
      </c>
      <c r="E41" s="128"/>
      <c r="L41" s="3"/>
      <c r="R41" s="204"/>
    </row>
    <row r="42" spans="2:27">
      <c r="B42" t="s">
        <v>203</v>
      </c>
      <c r="C42" s="132">
        <f>VLOOKUP($E$40,'Base de datos '!$A$3:$H$18,3,FALSE)</f>
        <v>1.24</v>
      </c>
      <c r="D42" t="s">
        <v>0</v>
      </c>
      <c r="E42" s="128"/>
      <c r="L42" s="3"/>
      <c r="R42" s="204"/>
    </row>
    <row r="43" spans="2:27">
      <c r="B43" t="s">
        <v>72</v>
      </c>
      <c r="C43" s="132">
        <f>VLOOKUP($E$40,'Base de datos '!$A$3:$H$18,4,FALSE)</f>
        <v>1.5</v>
      </c>
      <c r="D43" t="s">
        <v>0</v>
      </c>
      <c r="E43" s="128"/>
      <c r="L43" s="3"/>
      <c r="R43" s="204"/>
    </row>
    <row r="44" spans="2:27">
      <c r="B44" t="s">
        <v>27</v>
      </c>
      <c r="C44" s="132">
        <f>VLOOKUP($E$40,'Base de datos '!$A$3:$H$18,5,FALSE)</f>
        <v>3</v>
      </c>
      <c r="D44" t="s">
        <v>0</v>
      </c>
      <c r="E44" s="128"/>
      <c r="L44" s="3"/>
      <c r="R44" s="204"/>
      <c r="T44" s="204"/>
      <c r="V44" s="204"/>
    </row>
    <row r="45" spans="2:27">
      <c r="B45" t="s">
        <v>22</v>
      </c>
      <c r="C45" s="132">
        <f>VLOOKUP($E$40,'Base de datos '!$A$3:$H$18,6,FALSE)</f>
        <v>0.126</v>
      </c>
      <c r="E45" s="128"/>
      <c r="L45" s="3"/>
      <c r="R45" s="204"/>
      <c r="T45" s="204"/>
      <c r="V45" s="204"/>
    </row>
    <row r="46" spans="2:27">
      <c r="B46" t="s">
        <v>251</v>
      </c>
      <c r="C46" s="132">
        <f>VLOOKUP($E$40,'Base de datos '!$A$3:$H$18,7,FALSE)</f>
        <v>0.24</v>
      </c>
      <c r="E46" s="128"/>
      <c r="L46" s="3"/>
      <c r="R46" s="204"/>
      <c r="T46" s="204"/>
      <c r="V46" s="204"/>
    </row>
    <row r="47" spans="2:27">
      <c r="B47" t="s">
        <v>252</v>
      </c>
      <c r="C47" s="132">
        <f>VLOOKUP($E$40,'Base de datos '!$A$3:$H$18,8,FALSE)</f>
        <v>0.51900000000000002</v>
      </c>
      <c r="D47" t="s">
        <v>0</v>
      </c>
      <c r="E47" s="128"/>
      <c r="L47" s="3"/>
      <c r="R47" s="204"/>
      <c r="T47" s="204"/>
      <c r="V47" s="204"/>
    </row>
    <row r="48" spans="2:27">
      <c r="B48" t="s">
        <v>265</v>
      </c>
      <c r="C48" s="132">
        <v>0.1</v>
      </c>
      <c r="D48" t="s">
        <v>0</v>
      </c>
      <c r="E48" s="128" t="s">
        <v>266</v>
      </c>
      <c r="L48" s="3"/>
      <c r="R48" s="204"/>
      <c r="T48" s="204"/>
      <c r="V48" s="204"/>
    </row>
    <row r="49" spans="1:34">
      <c r="E49" s="15"/>
      <c r="L49" s="3"/>
      <c r="R49" s="204"/>
      <c r="T49" s="204"/>
      <c r="V49" s="204"/>
    </row>
    <row r="50" spans="1:34">
      <c r="B50" s="95" t="s">
        <v>225</v>
      </c>
      <c r="R50" s="204"/>
      <c r="T50" s="204"/>
      <c r="V50" s="204"/>
    </row>
    <row r="51" spans="1:34">
      <c r="B51" s="95" t="s">
        <v>228</v>
      </c>
      <c r="R51" s="204"/>
      <c r="T51" s="204"/>
      <c r="V51" s="204"/>
    </row>
    <row r="52" spans="1:34">
      <c r="A52" s="6"/>
      <c r="B52" s="128" t="s">
        <v>227</v>
      </c>
      <c r="C52" s="136">
        <v>35</v>
      </c>
      <c r="D52" t="s">
        <v>111</v>
      </c>
      <c r="E52" t="s">
        <v>226</v>
      </c>
      <c r="R52" s="204"/>
      <c r="T52" s="204"/>
      <c r="V52" s="204"/>
    </row>
    <row r="53" spans="1:34">
      <c r="A53" s="6"/>
      <c r="B53" s="128" t="s">
        <v>318</v>
      </c>
      <c r="C53" s="136">
        <v>35</v>
      </c>
      <c r="D53" t="s">
        <v>111</v>
      </c>
      <c r="E53" t="s">
        <v>317</v>
      </c>
      <c r="R53" s="204"/>
      <c r="T53" s="204"/>
      <c r="V53" s="204"/>
    </row>
    <row r="54" spans="1:34">
      <c r="A54" s="137"/>
      <c r="B54" s="128" t="s">
        <v>113</v>
      </c>
      <c r="C54" s="136">
        <f>2*C52/3</f>
        <v>23.333333333333332</v>
      </c>
      <c r="D54" t="s">
        <v>111</v>
      </c>
      <c r="E54" t="s">
        <v>396</v>
      </c>
      <c r="R54" s="204"/>
      <c r="T54" s="204"/>
      <c r="V54" s="204"/>
    </row>
    <row r="55" spans="1:34" ht="16.2">
      <c r="A55" s="6"/>
      <c r="B55" s="128" t="s">
        <v>114</v>
      </c>
      <c r="C55" s="139">
        <v>1.8</v>
      </c>
      <c r="D55" t="s">
        <v>112</v>
      </c>
      <c r="E55" s="1" t="s">
        <v>46</v>
      </c>
      <c r="R55" s="25"/>
      <c r="S55" s="97"/>
      <c r="T55" s="140"/>
      <c r="U55" s="141"/>
      <c r="V55" s="142"/>
    </row>
    <row r="56" spans="1:34" ht="16.2">
      <c r="A56" s="6"/>
      <c r="B56" s="128" t="s">
        <v>115</v>
      </c>
      <c r="C56" s="139">
        <v>2.5</v>
      </c>
      <c r="D56" t="s">
        <v>112</v>
      </c>
      <c r="E56" s="1" t="s">
        <v>47</v>
      </c>
      <c r="P56" s="166"/>
    </row>
    <row r="57" spans="1:34" ht="14.4">
      <c r="A57" s="6"/>
      <c r="B57" s="128" t="s">
        <v>116</v>
      </c>
      <c r="C57" s="139">
        <v>0</v>
      </c>
      <c r="D57" t="s">
        <v>111</v>
      </c>
      <c r="E57" s="1" t="s">
        <v>71</v>
      </c>
    </row>
    <row r="58" spans="1:34">
      <c r="A58" s="137"/>
      <c r="B58" s="128" t="s">
        <v>66</v>
      </c>
      <c r="C58" s="138">
        <v>90</v>
      </c>
      <c r="D58" t="s">
        <v>111</v>
      </c>
      <c r="E58" s="1" t="s">
        <v>83</v>
      </c>
    </row>
    <row r="59" spans="1:34" ht="16.2">
      <c r="B59" s="128" t="s">
        <v>120</v>
      </c>
      <c r="C59" s="139">
        <f>2.5*3</f>
        <v>7.5</v>
      </c>
      <c r="D59" t="s">
        <v>73</v>
      </c>
      <c r="E59" t="s">
        <v>397</v>
      </c>
    </row>
    <row r="60" spans="1:34">
      <c r="R60" s="3"/>
    </row>
    <row r="61" spans="1:34">
      <c r="B61" s="95" t="s">
        <v>381</v>
      </c>
      <c r="AC61"/>
      <c r="AD61" s="143"/>
      <c r="AE61" s="143"/>
      <c r="AF61"/>
      <c r="AG61"/>
      <c r="AH61"/>
    </row>
    <row r="62" spans="1:34">
      <c r="B62" s="6" t="s">
        <v>49</v>
      </c>
      <c r="C62" s="139">
        <v>0.45</v>
      </c>
      <c r="E62" t="s">
        <v>398</v>
      </c>
      <c r="AC62"/>
      <c r="AD62" s="143"/>
      <c r="AE62" s="143"/>
      <c r="AF62"/>
      <c r="AG62"/>
      <c r="AH62"/>
    </row>
    <row r="63" spans="1:34">
      <c r="B63" s="128" t="s">
        <v>136</v>
      </c>
      <c r="C63" s="139">
        <v>0.6</v>
      </c>
      <c r="D63" s="1" t="s">
        <v>0</v>
      </c>
      <c r="E63" t="s">
        <v>229</v>
      </c>
      <c r="AC63"/>
      <c r="AD63" s="143"/>
      <c r="AE63" s="143"/>
      <c r="AF63"/>
      <c r="AG63"/>
      <c r="AH63"/>
    </row>
    <row r="64" spans="1:34" ht="16.5" customHeight="1">
      <c r="AC64"/>
      <c r="AD64" s="143"/>
      <c r="AE64" s="143"/>
      <c r="AF64"/>
      <c r="AG64"/>
      <c r="AH64"/>
    </row>
    <row r="65" spans="2:34">
      <c r="B65" s="95" t="s">
        <v>243</v>
      </c>
      <c r="AC65"/>
      <c r="AD65" s="143"/>
      <c r="AE65" s="143"/>
      <c r="AF65" s="140"/>
      <c r="AG65" s="140"/>
      <c r="AH65" s="25"/>
    </row>
    <row r="66" spans="2:34">
      <c r="B66" s="95" t="s">
        <v>246</v>
      </c>
      <c r="AC66"/>
      <c r="AD66" s="143"/>
      <c r="AE66" s="143"/>
      <c r="AF66" s="140"/>
      <c r="AG66" s="140"/>
      <c r="AH66" s="25"/>
    </row>
    <row r="67" spans="2:34">
      <c r="B67" s="95" t="s">
        <v>244</v>
      </c>
      <c r="AC67"/>
      <c r="AD67" s="143"/>
      <c r="AE67" s="143"/>
      <c r="AF67" s="146"/>
      <c r="AG67" s="147"/>
      <c r="AH67" s="147"/>
    </row>
    <row r="69" spans="2:34" ht="15.6">
      <c r="C69" s="25" t="s">
        <v>123</v>
      </c>
      <c r="D69" s="248" t="s">
        <v>70</v>
      </c>
      <c r="E69" s="248"/>
      <c r="H69" s="25" t="s">
        <v>123</v>
      </c>
      <c r="I69" s="148">
        <f>(SIN(RADIANS(C58+C52))^2)/(I74*SIN(RADIANS(C58))^2*SIN(RADIANS(C58-C54)))</f>
        <v>0.2444094893507005</v>
      </c>
      <c r="J69" t="s">
        <v>233</v>
      </c>
    </row>
    <row r="70" spans="2:34" ht="15.6">
      <c r="D70" s="149" t="s">
        <v>67</v>
      </c>
      <c r="I70" s="6"/>
    </row>
    <row r="71" spans="2:34">
      <c r="I71" s="6"/>
    </row>
    <row r="72" spans="2:34">
      <c r="B72" s="1" t="s">
        <v>48</v>
      </c>
      <c r="I72" s="6"/>
    </row>
    <row r="73" spans="2:34" ht="15">
      <c r="G73" s="150">
        <v>2</v>
      </c>
      <c r="I73" s="6"/>
    </row>
    <row r="74" spans="2:34" ht="15">
      <c r="C74" s="25" t="s">
        <v>124</v>
      </c>
      <c r="D74" t="s">
        <v>125</v>
      </c>
      <c r="E74" s="228" t="s">
        <v>69</v>
      </c>
      <c r="F74" s="228"/>
      <c r="H74" s="151" t="s">
        <v>126</v>
      </c>
      <c r="I74" s="148">
        <f>(1+SQRT(SIN(RADIANS(C52+C54))*SIN(RADIANS(C52-C57))/(SIN(RADIANS(C58-C54))*SIN(RADIANS(C58+C57)))))^2</f>
        <v>2.9899647517954375</v>
      </c>
      <c r="J74" t="s">
        <v>234</v>
      </c>
    </row>
    <row r="75" spans="2:34">
      <c r="E75" s="1" t="s">
        <v>68</v>
      </c>
    </row>
    <row r="76" spans="2:34">
      <c r="L76"/>
      <c r="M76"/>
      <c r="N76"/>
    </row>
    <row r="77" spans="2:34">
      <c r="B77" s="95"/>
      <c r="L77"/>
      <c r="M77"/>
      <c r="N77"/>
    </row>
    <row r="78" spans="2:34">
      <c r="C78" t="s">
        <v>181</v>
      </c>
      <c r="F78" s="3">
        <f>0.5*(C55)*(C28-C30)^2*I69*1</f>
        <v>8.3197601198701854</v>
      </c>
      <c r="G78" t="s">
        <v>386</v>
      </c>
      <c r="H78" t="s">
        <v>237</v>
      </c>
      <c r="L78"/>
      <c r="M78"/>
      <c r="N78"/>
    </row>
    <row r="79" spans="2:34" ht="15.6">
      <c r="C79" t="s">
        <v>182</v>
      </c>
      <c r="F79" s="3">
        <f>F78*COS(RADIANS(C54))</f>
        <v>7.6393377474449631</v>
      </c>
      <c r="G79" t="s">
        <v>386</v>
      </c>
      <c r="L79"/>
      <c r="M79"/>
      <c r="N79"/>
    </row>
    <row r="80" spans="2:34">
      <c r="C80" t="s">
        <v>183</v>
      </c>
      <c r="F80" s="3">
        <f>F78*SIN(RADIANS(C54))</f>
        <v>3.2952886417800902</v>
      </c>
      <c r="G80" t="s">
        <v>386</v>
      </c>
      <c r="K80"/>
    </row>
    <row r="81" spans="2:25">
      <c r="Y81" s="2"/>
    </row>
    <row r="82" spans="2:25">
      <c r="B82" s="95" t="s">
        <v>245</v>
      </c>
    </row>
    <row r="83" spans="2:25" ht="15">
      <c r="C83" s="95"/>
      <c r="J83" s="152" t="s">
        <v>63</v>
      </c>
      <c r="W83" s="3"/>
      <c r="Y83" s="2"/>
    </row>
    <row r="84" spans="2:25" ht="16.8" thickBot="1">
      <c r="B84" s="95"/>
      <c r="C84" s="13" t="s">
        <v>59</v>
      </c>
      <c r="D84" s="8"/>
      <c r="E84" s="8" t="s">
        <v>61</v>
      </c>
      <c r="F84" s="8"/>
      <c r="G84" s="1" t="s">
        <v>65</v>
      </c>
      <c r="H84" s="6" t="s">
        <v>60</v>
      </c>
      <c r="J84" s="18"/>
      <c r="L84" t="s">
        <v>240</v>
      </c>
      <c r="Y84" s="2"/>
    </row>
    <row r="85" spans="2:25" ht="15.6">
      <c r="B85" s="95"/>
      <c r="D85" s="1" t="s">
        <v>64</v>
      </c>
      <c r="H85" s="1" t="s">
        <v>62</v>
      </c>
      <c r="Y85" s="2"/>
    </row>
    <row r="86" spans="2:25">
      <c r="B86" s="95"/>
    </row>
    <row r="87" spans="2:25">
      <c r="C87" s="1" t="s">
        <v>48</v>
      </c>
    </row>
    <row r="88" spans="2:25">
      <c r="C88" s="25" t="s">
        <v>127</v>
      </c>
      <c r="D88" s="3">
        <f>0.5*C62</f>
        <v>0.22500000000000001</v>
      </c>
      <c r="E88" t="s">
        <v>399</v>
      </c>
      <c r="I88" s="151" t="s">
        <v>130</v>
      </c>
      <c r="J88" s="153">
        <f>C52</f>
        <v>35</v>
      </c>
      <c r="K88" s="1" t="str">
        <f>E52</f>
        <v>Ángulo de fricción interna del suelo que empuja</v>
      </c>
    </row>
    <row r="89" spans="2:25">
      <c r="C89" s="25" t="s">
        <v>128</v>
      </c>
      <c r="D89" s="132">
        <v>0</v>
      </c>
      <c r="E89" t="s">
        <v>400</v>
      </c>
      <c r="I89" s="151" t="s">
        <v>131</v>
      </c>
      <c r="J89" s="153">
        <f>0</f>
        <v>0</v>
      </c>
      <c r="K89" s="1" t="s">
        <v>84</v>
      </c>
    </row>
    <row r="90" spans="2:25">
      <c r="C90" s="25" t="s">
        <v>238</v>
      </c>
      <c r="D90" s="154">
        <f>DEGREES(ATAN(D88/(1-D89)))</f>
        <v>12.680383491819819</v>
      </c>
      <c r="E90" s="137" t="s">
        <v>239</v>
      </c>
      <c r="I90" s="151" t="s">
        <v>132</v>
      </c>
      <c r="J90" s="153">
        <f>C54</f>
        <v>23.333333333333332</v>
      </c>
      <c r="K90" t="s">
        <v>82</v>
      </c>
      <c r="L90" s="134"/>
      <c r="R90" s="155"/>
    </row>
    <row r="91" spans="2:25">
      <c r="C91" s="25" t="s">
        <v>129</v>
      </c>
      <c r="D91" s="155">
        <f>C57</f>
        <v>0</v>
      </c>
      <c r="E91" s="1" t="str">
        <f>E57</f>
        <v>Ángulo de inclinación de la suerperficie de relleno</v>
      </c>
      <c r="J91" s="156"/>
      <c r="L91" s="6"/>
    </row>
    <row r="92" spans="2:25">
      <c r="C92" s="1" t="s">
        <v>77</v>
      </c>
    </row>
    <row r="93" spans="2:25" ht="15">
      <c r="G93" s="157"/>
    </row>
    <row r="94" spans="2:25">
      <c r="C94" s="151" t="s">
        <v>126</v>
      </c>
      <c r="D94"/>
      <c r="E94" s="6" t="s">
        <v>60</v>
      </c>
      <c r="G94" s="25" t="s">
        <v>117</v>
      </c>
      <c r="H94" s="2">
        <f>SQRT((SIN(RADIANS(J88+J90))*SIN(RADIANS(MAX(0,J88-D90-D91))))/(COS(RADIANS(J90+J89+D90))*COS(RADIANS(D91-J89))))</f>
        <v>0.63214323376543391</v>
      </c>
      <c r="J94" t="s">
        <v>118</v>
      </c>
      <c r="K94" t="s">
        <v>240</v>
      </c>
    </row>
    <row r="95" spans="2:25">
      <c r="C95" s="13"/>
      <c r="E95" s="1" t="s">
        <v>62</v>
      </c>
    </row>
    <row r="96" spans="2:25">
      <c r="C96" s="13"/>
      <c r="D96" s="2"/>
    </row>
    <row r="97" spans="3:9" ht="15">
      <c r="C97" s="13" t="s">
        <v>59</v>
      </c>
      <c r="D97" s="2">
        <f>(COS(RADIANS(J88-D90-J89))^2)/(COS(RADIANS(D90))*(COS(RADIANS(J89))^2)*COS(RADIANS(J90+J89+D90)))*((1+H94)^-2)</f>
        <v>0.4070835839285688</v>
      </c>
      <c r="F97" s="2"/>
    </row>
    <row r="98" spans="3:9">
      <c r="C98" s="25" t="s">
        <v>382</v>
      </c>
      <c r="D98" s="2">
        <f>D97-I69</f>
        <v>0.1626740945778683</v>
      </c>
    </row>
    <row r="99" spans="3:9">
      <c r="C99" s="95" t="s">
        <v>407</v>
      </c>
    </row>
    <row r="100" spans="3:9" ht="15">
      <c r="C100" s="25" t="s">
        <v>384</v>
      </c>
      <c r="D100" t="s">
        <v>383</v>
      </c>
      <c r="E100" s="13"/>
      <c r="F100" s="3">
        <f>0.5*(C55)*(C28-C30)^2*D98</f>
        <v>5.537466847954283</v>
      </c>
      <c r="G100" t="s">
        <v>386</v>
      </c>
      <c r="I100"/>
    </row>
    <row r="101" spans="3:9">
      <c r="D101" s="144">
        <v>2</v>
      </c>
    </row>
    <row r="102" spans="3:9">
      <c r="C102" s="205" t="s">
        <v>408</v>
      </c>
      <c r="D102" s="144"/>
    </row>
    <row r="103" spans="3:9" ht="15">
      <c r="C103" s="25" t="s">
        <v>384</v>
      </c>
      <c r="D103" t="s">
        <v>409</v>
      </c>
      <c r="E103" s="13"/>
      <c r="F103" s="3">
        <f>C118*(C28-C30)*D98</f>
        <v>1.0804813361862013</v>
      </c>
      <c r="G103" t="s">
        <v>386</v>
      </c>
    </row>
    <row r="104" spans="3:9">
      <c r="D104" s="144"/>
    </row>
    <row r="105" spans="3:9">
      <c r="C105" s="170" t="s">
        <v>411</v>
      </c>
      <c r="D105" s="144"/>
    </row>
    <row r="106" spans="3:9" ht="15.6">
      <c r="C106" t="s">
        <v>401</v>
      </c>
      <c r="F106" s="3">
        <f>(F100)*COS(RADIANS(J90))</f>
        <v>5.084591251107164</v>
      </c>
      <c r="G106" t="s">
        <v>386</v>
      </c>
    </row>
    <row r="107" spans="3:9">
      <c r="C107" t="s">
        <v>402</v>
      </c>
      <c r="F107" s="3">
        <f>(F100)*SIN(RADIANS(J90))</f>
        <v>2.1932785735873193</v>
      </c>
      <c r="G107" t="s">
        <v>386</v>
      </c>
    </row>
    <row r="108" spans="3:9">
      <c r="C108"/>
      <c r="F108" s="3"/>
      <c r="G108"/>
    </row>
    <row r="109" spans="3:9">
      <c r="C109" s="170" t="s">
        <v>412</v>
      </c>
      <c r="D109" s="144"/>
    </row>
    <row r="110" spans="3:9" ht="15.6">
      <c r="C110" t="s">
        <v>401</v>
      </c>
      <c r="F110" s="3">
        <f>(F103)*COS(RADIANS(J90))</f>
        <v>0.99211536606969031</v>
      </c>
      <c r="G110" t="s">
        <v>386</v>
      </c>
    </row>
    <row r="111" spans="3:9">
      <c r="C111" t="s">
        <v>402</v>
      </c>
      <c r="F111" s="3">
        <f>(F103)*SIN(RADIANS(J90))</f>
        <v>0.42795679484630617</v>
      </c>
      <c r="G111" t="s">
        <v>386</v>
      </c>
    </row>
    <row r="112" spans="3:9">
      <c r="C112"/>
      <c r="F112" s="3"/>
      <c r="G112"/>
    </row>
    <row r="113" spans="2:6">
      <c r="C113" t="s">
        <v>241</v>
      </c>
      <c r="D113" s="3">
        <f>F79</f>
        <v>7.6393377474449631</v>
      </c>
      <c r="E113" t="s">
        <v>386</v>
      </c>
      <c r="F113" t="s">
        <v>385</v>
      </c>
    </row>
    <row r="114" spans="2:6">
      <c r="C114" s="128" t="s">
        <v>413</v>
      </c>
      <c r="D114" s="3">
        <f>F106+F110</f>
        <v>6.0767066171768542</v>
      </c>
      <c r="E114" t="s">
        <v>386</v>
      </c>
      <c r="F114" t="s">
        <v>415</v>
      </c>
    </row>
    <row r="115" spans="2:6">
      <c r="C115" s="128" t="s">
        <v>414</v>
      </c>
      <c r="D115" s="3">
        <f>F107+F111</f>
        <v>2.6212353684336254</v>
      </c>
      <c r="E115" t="s">
        <v>386</v>
      </c>
      <c r="F115" t="s">
        <v>416</v>
      </c>
    </row>
    <row r="116" spans="2:6">
      <c r="B116" s="95" t="s">
        <v>247</v>
      </c>
      <c r="C116" s="25"/>
      <c r="D116" s="3"/>
    </row>
    <row r="117" spans="2:6">
      <c r="B117" s="95"/>
      <c r="C117" s="25"/>
      <c r="D117" s="3"/>
    </row>
    <row r="118" spans="2:6" ht="15.6">
      <c r="B118" s="168" t="s">
        <v>403</v>
      </c>
      <c r="C118" s="169">
        <f>C63*C55</f>
        <v>1.08</v>
      </c>
      <c r="D118" s="26" t="s">
        <v>109</v>
      </c>
      <c r="E118" s="26" t="s">
        <v>248</v>
      </c>
    </row>
    <row r="119" spans="2:6">
      <c r="B119" s="168" t="s">
        <v>404</v>
      </c>
      <c r="C119" s="169">
        <f>+C118*(C28-C30)*I69</f>
        <v>1.6233678282673532</v>
      </c>
      <c r="D119" s="26"/>
      <c r="E119" t="s">
        <v>249</v>
      </c>
    </row>
    <row r="120" spans="2:6">
      <c r="B120" t="s">
        <v>405</v>
      </c>
      <c r="C120" s="140">
        <f>+C118*(C28-C30)*I69*COS(RADIANS(J90))</f>
        <v>1.4906024873063342</v>
      </c>
      <c r="D120" s="26" t="s">
        <v>386</v>
      </c>
      <c r="E120" t="s">
        <v>249</v>
      </c>
    </row>
    <row r="121" spans="2:6">
      <c r="B121" t="s">
        <v>406</v>
      </c>
      <c r="C121" s="140">
        <f>+C118*(C28-C30)*I69*SIN(RADIANS(J90))</f>
        <v>0.6429831496156273</v>
      </c>
      <c r="D121" s="26" t="s">
        <v>386</v>
      </c>
      <c r="E121" t="s">
        <v>249</v>
      </c>
    </row>
    <row r="122" spans="2:6">
      <c r="C122" s="25"/>
      <c r="D122" s="3"/>
    </row>
    <row r="123" spans="2:6">
      <c r="B123" s="95" t="s">
        <v>410</v>
      </c>
      <c r="C123" s="25"/>
      <c r="D123" s="3"/>
    </row>
    <row r="124" spans="2:6">
      <c r="C124" s="25"/>
      <c r="D124" s="3"/>
    </row>
    <row r="125" spans="2:6">
      <c r="B125" t="s">
        <v>253</v>
      </c>
      <c r="C125" s="140">
        <f>C29*C35*C56</f>
        <v>1.375</v>
      </c>
      <c r="D125" s="143" t="s">
        <v>386</v>
      </c>
      <c r="F125" t="s">
        <v>258</v>
      </c>
    </row>
    <row r="126" spans="2:6">
      <c r="B126" t="s">
        <v>254</v>
      </c>
      <c r="C126" s="3">
        <f>((C41+C47)*C43/2+(C47+C42)*C44/2)*C48*C56</f>
        <v>0.81881250000000005</v>
      </c>
      <c r="D126" s="143" t="s">
        <v>256</v>
      </c>
      <c r="F126" t="s">
        <v>257</v>
      </c>
    </row>
    <row r="127" spans="2:6">
      <c r="B127" t="s">
        <v>255</v>
      </c>
      <c r="C127" s="25">
        <f>C32*C37*C56</f>
        <v>6.0125000000000011</v>
      </c>
      <c r="D127" t="s">
        <v>386</v>
      </c>
      <c r="F127" t="s">
        <v>259</v>
      </c>
    </row>
    <row r="128" spans="2:6">
      <c r="B128"/>
      <c r="C128" s="25"/>
      <c r="D128"/>
      <c r="F128"/>
    </row>
    <row r="129" spans="1:15">
      <c r="C129" s="25"/>
      <c r="D129" s="3"/>
    </row>
    <row r="130" spans="1:15">
      <c r="B130" s="95" t="s">
        <v>267</v>
      </c>
    </row>
    <row r="131" spans="1:15">
      <c r="B131" s="95"/>
    </row>
    <row r="132" spans="1:15">
      <c r="B132" t="s">
        <v>268</v>
      </c>
      <c r="C132" s="140">
        <f>C125*$D$88</f>
        <v>0.30937500000000001</v>
      </c>
      <c r="D132" s="143" t="s">
        <v>242</v>
      </c>
      <c r="F132" t="s">
        <v>273</v>
      </c>
    </row>
    <row r="133" spans="1:15">
      <c r="B133" t="s">
        <v>269</v>
      </c>
      <c r="C133" s="140">
        <f>C126*$D$88</f>
        <v>0.18423281250000001</v>
      </c>
      <c r="D133" s="143" t="s">
        <v>256</v>
      </c>
      <c r="F133" t="s">
        <v>274</v>
      </c>
    </row>
    <row r="134" spans="1:15">
      <c r="B134"/>
      <c r="C134" s="140"/>
      <c r="D134" s="143"/>
      <c r="F134"/>
    </row>
    <row r="135" spans="1:15">
      <c r="B135" t="s">
        <v>270</v>
      </c>
      <c r="C135" s="140">
        <f>C125*$D$89</f>
        <v>0</v>
      </c>
      <c r="D135" s="143" t="s">
        <v>242</v>
      </c>
      <c r="F135" t="s">
        <v>275</v>
      </c>
    </row>
    <row r="136" spans="1:15">
      <c r="B136" t="s">
        <v>271</v>
      </c>
      <c r="C136" s="140">
        <f t="shared" ref="C136" si="0">C126*$D$89</f>
        <v>0</v>
      </c>
      <c r="D136" s="143" t="s">
        <v>256</v>
      </c>
      <c r="F136" t="s">
        <v>276</v>
      </c>
    </row>
    <row r="137" spans="1:15">
      <c r="B137" t="s">
        <v>272</v>
      </c>
      <c r="C137" s="140">
        <f>C127*$D$89</f>
        <v>0</v>
      </c>
      <c r="D137" s="143" t="s">
        <v>242</v>
      </c>
      <c r="F137" t="s">
        <v>277</v>
      </c>
    </row>
    <row r="138" spans="1:15">
      <c r="B138"/>
      <c r="C138" s="140"/>
      <c r="D138" s="143"/>
      <c r="F138"/>
    </row>
    <row r="139" spans="1:15">
      <c r="B139" s="95" t="s">
        <v>281</v>
      </c>
    </row>
    <row r="140" spans="1:15">
      <c r="B140" s="144"/>
      <c r="C140" s="132"/>
      <c r="G140" s="26"/>
      <c r="I140" s="145"/>
      <c r="J140"/>
    </row>
    <row r="141" spans="1:15">
      <c r="B141" s="167" t="s">
        <v>2</v>
      </c>
      <c r="C141" s="16"/>
      <c r="D141" s="16"/>
      <c r="E141" s="16"/>
      <c r="F141" s="16"/>
      <c r="I141" s="13"/>
      <c r="J141" s="13" t="s">
        <v>3</v>
      </c>
      <c r="K141" s="128" t="s">
        <v>283</v>
      </c>
      <c r="M141" s="13" t="s">
        <v>6</v>
      </c>
      <c r="O141" s="158" t="s">
        <v>417</v>
      </c>
    </row>
    <row r="142" spans="1:15" ht="14.4" thickBot="1">
      <c r="B142" s="128"/>
      <c r="C142" s="4"/>
      <c r="D142" s="172"/>
      <c r="E142" s="4"/>
      <c r="F142" s="4"/>
      <c r="G142" s="8"/>
      <c r="H142" s="8"/>
      <c r="I142" s="5"/>
      <c r="J142" s="174" t="s">
        <v>306</v>
      </c>
      <c r="K142" s="5" t="s">
        <v>5</v>
      </c>
      <c r="L142" s="8"/>
      <c r="M142" s="174" t="s">
        <v>307</v>
      </c>
    </row>
    <row r="143" spans="1:15">
      <c r="A143" s="1" t="str">
        <f>+B143&amp;C143</f>
        <v>1DC</v>
      </c>
      <c r="B143" s="6">
        <v>1</v>
      </c>
      <c r="C143" s="1" t="s">
        <v>7</v>
      </c>
      <c r="D143" t="s">
        <v>282</v>
      </c>
      <c r="I143" s="7"/>
      <c r="J143" s="7">
        <f>(C125+C127)*C39+C126*C38</f>
        <v>19.367625</v>
      </c>
      <c r="K143" s="7">
        <f>G342</f>
        <v>1.6854523528310776</v>
      </c>
      <c r="M143" s="3">
        <f>+J143*K143</f>
        <v>32.643209124999998</v>
      </c>
    </row>
    <row r="144" spans="1:15">
      <c r="A144" s="1" t="str">
        <f>+B144&amp;C144</f>
        <v>2EV</v>
      </c>
      <c r="B144" s="6">
        <v>2</v>
      </c>
      <c r="C144" s="1" t="s">
        <v>8</v>
      </c>
      <c r="D144" s="1" t="s">
        <v>11</v>
      </c>
      <c r="I144" s="7"/>
      <c r="J144" s="7">
        <f>C36*C31*C39*C55-C38*B351*C48</f>
        <v>61.120950000000001</v>
      </c>
      <c r="K144" s="7">
        <f>E357</f>
        <v>2.4240710008376514</v>
      </c>
      <c r="M144" s="3">
        <f>+J144*K144</f>
        <v>148.16152243864803</v>
      </c>
    </row>
    <row r="145" spans="1:16">
      <c r="A145" s="1" t="str">
        <f>+B145&amp;C145</f>
        <v>3EH</v>
      </c>
      <c r="B145" s="6">
        <v>3</v>
      </c>
      <c r="C145" s="1" t="s">
        <v>9</v>
      </c>
      <c r="D145" s="1" t="s">
        <v>56</v>
      </c>
      <c r="I145" s="7"/>
      <c r="J145" s="7">
        <f>F80*C39</f>
        <v>7.9086927402722162</v>
      </c>
      <c r="K145" s="7">
        <f>C37</f>
        <v>3.7</v>
      </c>
      <c r="M145" s="3">
        <f t="shared" ref="M145:M148" si="1">+J145*K145</f>
        <v>29.262163139007203</v>
      </c>
    </row>
    <row r="146" spans="1:16">
      <c r="A146" s="1" t="str">
        <f>+B146&amp;C146</f>
        <v>4LS</v>
      </c>
      <c r="B146" s="6">
        <v>4</v>
      </c>
      <c r="C146" s="1" t="s">
        <v>10</v>
      </c>
      <c r="D146" s="1" t="s">
        <v>12</v>
      </c>
      <c r="I146" s="7"/>
      <c r="J146" s="7">
        <f>C118*C36*C39</f>
        <v>6.7392000000000003</v>
      </c>
      <c r="K146" s="7">
        <f>C34+C35+C36/2</f>
        <v>2.4000000000000004</v>
      </c>
      <c r="M146" s="3">
        <f>+J146*K146</f>
        <v>16.174080000000004</v>
      </c>
    </row>
    <row r="147" spans="1:16">
      <c r="A147" t="str">
        <f>+B147&amp;C147</f>
        <v>5EQ</v>
      </c>
      <c r="B147" s="6">
        <v>5</v>
      </c>
      <c r="C147" t="s">
        <v>14</v>
      </c>
      <c r="D147" t="s">
        <v>296</v>
      </c>
      <c r="I147" s="7"/>
      <c r="J147" s="7">
        <f>(C135+C137)*C39+C136*C38</f>
        <v>0</v>
      </c>
      <c r="K147" s="7">
        <f>K143</f>
        <v>1.6854523528310776</v>
      </c>
      <c r="M147" s="3">
        <f>+J147*K147</f>
        <v>0</v>
      </c>
    </row>
    <row r="148" spans="1:16">
      <c r="B148" s="6">
        <v>6</v>
      </c>
      <c r="C148" t="s">
        <v>14</v>
      </c>
      <c r="D148" t="s">
        <v>297</v>
      </c>
      <c r="J148" s="3">
        <f>J144*D89</f>
        <v>0</v>
      </c>
      <c r="K148" s="3">
        <f>K144</f>
        <v>2.4240710008376514</v>
      </c>
      <c r="M148" s="3">
        <f t="shared" si="1"/>
        <v>0</v>
      </c>
    </row>
    <row r="150" spans="1:16">
      <c r="B150" s="16" t="s">
        <v>13</v>
      </c>
      <c r="C150" s="16"/>
      <c r="D150" s="16"/>
      <c r="E150" s="16"/>
      <c r="F150" s="16"/>
      <c r="I150" s="13"/>
      <c r="J150" s="13" t="s">
        <v>3</v>
      </c>
      <c r="K150" s="13" t="s">
        <v>4</v>
      </c>
      <c r="M150" s="13" t="s">
        <v>6</v>
      </c>
    </row>
    <row r="151" spans="1:16" ht="14.4" thickBot="1">
      <c r="B151" s="16"/>
      <c r="C151" s="4"/>
      <c r="D151" s="4"/>
      <c r="E151" s="4"/>
      <c r="F151" s="4"/>
      <c r="G151" s="8"/>
      <c r="H151" s="8"/>
      <c r="I151" s="5"/>
      <c r="J151" s="174" t="s">
        <v>306</v>
      </c>
      <c r="K151" s="5" t="s">
        <v>5</v>
      </c>
      <c r="L151" s="8"/>
      <c r="M151" s="174" t="s">
        <v>307</v>
      </c>
    </row>
    <row r="152" spans="1:16">
      <c r="A152" s="1" t="str">
        <f>+B152&amp;C152</f>
        <v>1EH</v>
      </c>
      <c r="B152" s="6">
        <v>1</v>
      </c>
      <c r="C152" s="1" t="s">
        <v>9</v>
      </c>
      <c r="D152" s="1" t="s">
        <v>15</v>
      </c>
      <c r="I152" s="7"/>
      <c r="J152" s="7">
        <f>F79*C39</f>
        <v>18.334410593867911</v>
      </c>
      <c r="K152" s="7">
        <f>(C31+C32)/3</f>
        <v>2.0500000000000003</v>
      </c>
      <c r="M152" s="3">
        <f>+J152*K152</f>
        <v>37.585541717429223</v>
      </c>
    </row>
    <row r="153" spans="1:16">
      <c r="A153" s="1" t="str">
        <f>+B153&amp;C153</f>
        <v>2LS</v>
      </c>
      <c r="B153" s="6">
        <v>2</v>
      </c>
      <c r="C153" s="1" t="s">
        <v>10</v>
      </c>
      <c r="D153" s="1" t="s">
        <v>16</v>
      </c>
      <c r="I153" s="7"/>
      <c r="J153" s="7">
        <f>C120*C39</f>
        <v>3.5774459695352019</v>
      </c>
      <c r="K153" s="7">
        <f>+(C31+C32)/2</f>
        <v>3.0750000000000002</v>
      </c>
      <c r="M153" s="3">
        <f>+J153*K153</f>
        <v>11.000646356320747</v>
      </c>
    </row>
    <row r="154" spans="1:16">
      <c r="A154" s="1" t="str">
        <f>+B154&amp;C154</f>
        <v>3EQ</v>
      </c>
      <c r="B154" s="6">
        <v>3</v>
      </c>
      <c r="C154" s="1" t="s">
        <v>14</v>
      </c>
      <c r="D154" s="1" t="s">
        <v>17</v>
      </c>
      <c r="I154" s="7"/>
      <c r="J154" s="7">
        <f>D114*C39</f>
        <v>14.584095881224449</v>
      </c>
      <c r="K154" s="7">
        <f>+(C32+C31)*0.6</f>
        <v>3.69</v>
      </c>
      <c r="M154" s="3">
        <f>+J154*K154</f>
        <v>53.815313801718219</v>
      </c>
    </row>
    <row r="155" spans="1:16">
      <c r="A155" s="1" t="str">
        <f>+B155&amp;C155</f>
        <v>4EQ</v>
      </c>
      <c r="B155" s="6">
        <v>4</v>
      </c>
      <c r="C155" s="1" t="s">
        <v>14</v>
      </c>
      <c r="D155" t="s">
        <v>298</v>
      </c>
      <c r="I155" s="7"/>
      <c r="J155" s="7">
        <f>(J143+J144)*D88</f>
        <v>18.109929375</v>
      </c>
      <c r="K155" s="7">
        <f>(J144*(C32+C31/2)+(C125*C39*(C32+C29/2)))/((J144+C125*C39))</f>
        <v>3.3999999999999995</v>
      </c>
      <c r="M155" s="3">
        <f>+J155*K155</f>
        <v>61.573759874999993</v>
      </c>
      <c r="P155"/>
    </row>
    <row r="156" spans="1:16">
      <c r="B156" s="6"/>
      <c r="I156" s="7"/>
      <c r="J156" s="7"/>
      <c r="K156" s="7"/>
      <c r="M156" s="3"/>
    </row>
    <row r="158" spans="1:16">
      <c r="B158" s="95" t="s">
        <v>167</v>
      </c>
      <c r="F158" t="s">
        <v>75</v>
      </c>
    </row>
    <row r="160" spans="1:16" ht="14.4" thickBot="1">
      <c r="B160" s="173" t="s">
        <v>299</v>
      </c>
      <c r="C160" s="4"/>
      <c r="D160" s="4"/>
      <c r="E160" s="8"/>
      <c r="F160" s="12" t="s">
        <v>7</v>
      </c>
      <c r="G160" s="12" t="s">
        <v>8</v>
      </c>
      <c r="H160" s="12" t="s">
        <v>9</v>
      </c>
      <c r="I160" s="12" t="s">
        <v>10</v>
      </c>
      <c r="J160" s="12" t="s">
        <v>14</v>
      </c>
      <c r="K160" s="15"/>
      <c r="L160" s="15"/>
      <c r="M160" s="15"/>
    </row>
    <row r="161" spans="2:21">
      <c r="B161" t="s">
        <v>300</v>
      </c>
      <c r="F161" s="14">
        <v>1.25</v>
      </c>
      <c r="G161" s="14">
        <v>1.35</v>
      </c>
      <c r="H161" s="14">
        <v>1.5</v>
      </c>
      <c r="I161" s="14">
        <v>1.75</v>
      </c>
      <c r="J161" s="14">
        <v>0</v>
      </c>
      <c r="K161" s="14"/>
      <c r="L161" s="14"/>
      <c r="M161" s="14"/>
      <c r="Q161" s="14"/>
      <c r="R161" s="14"/>
      <c r="S161" s="14"/>
      <c r="T161" s="14"/>
      <c r="U161" s="14"/>
    </row>
    <row r="162" spans="2:21">
      <c r="B162" t="s">
        <v>301</v>
      </c>
      <c r="F162" s="14">
        <v>0.9</v>
      </c>
      <c r="G162" s="14">
        <v>1</v>
      </c>
      <c r="H162" s="14">
        <v>1.5</v>
      </c>
      <c r="I162" s="14">
        <v>1.75</v>
      </c>
      <c r="J162" s="14">
        <v>0</v>
      </c>
      <c r="K162" s="14"/>
      <c r="L162" s="14"/>
      <c r="M162" s="14"/>
      <c r="Q162" s="14"/>
      <c r="R162" s="14"/>
      <c r="S162" s="14"/>
      <c r="T162" s="14"/>
      <c r="U162" s="14"/>
    </row>
    <row r="163" spans="2:21">
      <c r="B163" t="s">
        <v>302</v>
      </c>
      <c r="F163" s="14">
        <v>1.25</v>
      </c>
      <c r="G163" s="14">
        <v>1.35</v>
      </c>
      <c r="H163" s="14">
        <v>1.5</v>
      </c>
      <c r="I163" s="14">
        <v>0</v>
      </c>
      <c r="J163" s="14">
        <v>0</v>
      </c>
      <c r="K163" s="14"/>
      <c r="L163" s="14"/>
      <c r="M163" s="14"/>
      <c r="Q163" s="14"/>
      <c r="R163" s="14"/>
      <c r="S163" s="14"/>
      <c r="T163" s="14"/>
      <c r="U163" s="14"/>
    </row>
    <row r="164" spans="2:21">
      <c r="B164" t="s">
        <v>303</v>
      </c>
      <c r="F164" s="14">
        <v>0.9</v>
      </c>
      <c r="G164" s="14">
        <v>1</v>
      </c>
      <c r="H164" s="14">
        <v>1.5</v>
      </c>
      <c r="I164" s="14">
        <v>0</v>
      </c>
      <c r="J164" s="14">
        <v>0</v>
      </c>
      <c r="K164" s="14"/>
      <c r="L164" s="14"/>
      <c r="M164" s="14"/>
      <c r="Q164" s="14"/>
      <c r="R164" s="14"/>
      <c r="S164" s="14"/>
      <c r="T164" s="14"/>
      <c r="U164" s="14"/>
    </row>
    <row r="165" spans="2:21">
      <c r="B165" t="s">
        <v>304</v>
      </c>
      <c r="F165" s="14">
        <v>1.25</v>
      </c>
      <c r="G165" s="14">
        <v>1.35</v>
      </c>
      <c r="H165" s="14">
        <v>1.5</v>
      </c>
      <c r="I165" s="14">
        <v>0.5</v>
      </c>
      <c r="J165" s="14">
        <v>1</v>
      </c>
      <c r="K165" s="14"/>
      <c r="L165" s="14"/>
      <c r="M165" s="14"/>
      <c r="Q165" s="14"/>
      <c r="R165" s="14"/>
      <c r="S165" s="14"/>
      <c r="T165" s="14"/>
      <c r="U165" s="14"/>
    </row>
    <row r="166" spans="2:21">
      <c r="B166" t="s">
        <v>305</v>
      </c>
      <c r="F166" s="14">
        <v>1</v>
      </c>
      <c r="G166" s="14">
        <v>1</v>
      </c>
      <c r="H166" s="14">
        <v>1</v>
      </c>
      <c r="I166" s="14">
        <v>0.5</v>
      </c>
      <c r="J166" s="14">
        <v>1</v>
      </c>
      <c r="K166" s="14"/>
      <c r="L166" s="14"/>
      <c r="M166" s="14"/>
      <c r="Q166" s="14"/>
      <c r="R166" s="14"/>
      <c r="S166" s="14"/>
      <c r="T166" s="14"/>
      <c r="U166" s="14"/>
    </row>
    <row r="167" spans="2:21">
      <c r="D167" s="15"/>
      <c r="E167" s="15"/>
    </row>
    <row r="168" spans="2:21">
      <c r="B168" s="95" t="s">
        <v>168</v>
      </c>
    </row>
    <row r="170" spans="2:21">
      <c r="B170" s="95" t="s">
        <v>308</v>
      </c>
    </row>
    <row r="171" spans="2:21">
      <c r="F171" s="15">
        <v>1</v>
      </c>
      <c r="G171" s="15">
        <v>2</v>
      </c>
      <c r="H171" s="15">
        <v>3</v>
      </c>
      <c r="I171" s="15">
        <v>4</v>
      </c>
      <c r="J171" s="15">
        <v>5</v>
      </c>
      <c r="K171" s="15">
        <v>6</v>
      </c>
      <c r="L171" s="15"/>
      <c r="M171" s="15"/>
      <c r="P171" s="158"/>
    </row>
    <row r="172" spans="2:21" ht="14.4" thickBot="1">
      <c r="B172" s="8"/>
      <c r="C172" s="8"/>
      <c r="D172" s="8"/>
      <c r="E172" s="8"/>
      <c r="F172" s="12" t="str">
        <f>VLOOKUP(F171,$B$143:$M$147,2,0)</f>
        <v>DC</v>
      </c>
      <c r="G172" s="12" t="str">
        <f>VLOOKUP(G171,$B$143:$M$147,2,0)</f>
        <v>EV</v>
      </c>
      <c r="H172" s="12" t="str">
        <f>VLOOKUP(H171,$B$143:$M$147,2,0)</f>
        <v>EH</v>
      </c>
      <c r="I172" s="12" t="str">
        <f>VLOOKUP(I171,$B$143:$M$147,2,0)</f>
        <v>LS</v>
      </c>
      <c r="J172" s="172" t="s">
        <v>14</v>
      </c>
      <c r="K172" s="172" t="s">
        <v>14</v>
      </c>
      <c r="L172" s="12"/>
      <c r="M172" s="12" t="s">
        <v>18</v>
      </c>
      <c r="P172" s="158"/>
    </row>
    <row r="173" spans="2:21">
      <c r="B173" t="s">
        <v>309</v>
      </c>
      <c r="F173" s="14">
        <f>VLOOKUP(F171,$B$143:$M$148,9,0)</f>
        <v>19.367625</v>
      </c>
      <c r="G173" s="14">
        <f t="shared" ref="G173:I173" si="2">VLOOKUP(G171,$B$143:$M$148,9,0)</f>
        <v>61.120950000000001</v>
      </c>
      <c r="H173" s="14">
        <f t="shared" si="2"/>
        <v>7.9086927402722162</v>
      </c>
      <c r="I173" s="14">
        <f t="shared" si="2"/>
        <v>6.7392000000000003</v>
      </c>
      <c r="J173" s="14">
        <f>VLOOKUP(J171,$B$143:$M$148,9,0)</f>
        <v>0</v>
      </c>
      <c r="K173" s="14">
        <f>VLOOKUP(K171,$B$143:$M$148,9,0)</f>
        <v>0</v>
      </c>
      <c r="L173" s="14"/>
      <c r="M173" s="15" t="s">
        <v>19</v>
      </c>
      <c r="P173" s="158"/>
    </row>
    <row r="174" spans="2:21">
      <c r="B174" t="s">
        <v>300</v>
      </c>
      <c r="F174" s="14">
        <f>INDEX($F$161:$J$166,MATCH($B174,$B$161:$B$166,0),MATCH(F$172,$F$160:$J$160,0))*F$173</f>
        <v>24.209531250000001</v>
      </c>
      <c r="G174" s="14">
        <f t="shared" ref="F174:K179" si="3">INDEX($F$161:$J$166,MATCH($B174,$B$161:$B$166,0),MATCH(G$172,$F$160:$J$160,0))*G$173</f>
        <v>82.513282500000003</v>
      </c>
      <c r="H174" s="14">
        <f t="shared" si="3"/>
        <v>11.863039110408325</v>
      </c>
      <c r="I174" s="14">
        <f t="shared" si="3"/>
        <v>11.793600000000001</v>
      </c>
      <c r="J174" s="14">
        <f t="shared" si="3"/>
        <v>0</v>
      </c>
      <c r="K174" s="14">
        <f t="shared" si="3"/>
        <v>0</v>
      </c>
      <c r="L174" s="14"/>
      <c r="M174" s="14">
        <f t="shared" ref="M174:M179" si="4">+SUM(F174:L174)</f>
        <v>130.37945286040832</v>
      </c>
      <c r="P174" s="158"/>
    </row>
    <row r="175" spans="2:21">
      <c r="B175" t="s">
        <v>301</v>
      </c>
      <c r="F175" s="14">
        <f t="shared" si="3"/>
        <v>17.4308625</v>
      </c>
      <c r="G175" s="14">
        <f t="shared" si="3"/>
        <v>61.120950000000001</v>
      </c>
      <c r="H175" s="14">
        <f t="shared" si="3"/>
        <v>11.863039110408325</v>
      </c>
      <c r="I175" s="14">
        <f t="shared" si="3"/>
        <v>11.793600000000001</v>
      </c>
      <c r="J175" s="14">
        <f t="shared" si="3"/>
        <v>0</v>
      </c>
      <c r="K175" s="14">
        <f t="shared" si="3"/>
        <v>0</v>
      </c>
      <c r="L175" s="14"/>
      <c r="M175" s="14">
        <f t="shared" si="4"/>
        <v>102.20845161040832</v>
      </c>
      <c r="P175" s="158"/>
    </row>
    <row r="176" spans="2:21">
      <c r="B176" t="s">
        <v>302</v>
      </c>
      <c r="F176" s="14">
        <f t="shared" si="3"/>
        <v>24.209531250000001</v>
      </c>
      <c r="G176" s="14">
        <f t="shared" si="3"/>
        <v>82.513282500000003</v>
      </c>
      <c r="H176" s="14">
        <f t="shared" si="3"/>
        <v>11.863039110408325</v>
      </c>
      <c r="I176" s="14">
        <f t="shared" si="3"/>
        <v>0</v>
      </c>
      <c r="J176" s="14">
        <f t="shared" si="3"/>
        <v>0</v>
      </c>
      <c r="K176" s="14">
        <f t="shared" si="3"/>
        <v>0</v>
      </c>
      <c r="L176" s="14"/>
      <c r="M176" s="14">
        <f t="shared" si="4"/>
        <v>118.58585286040832</v>
      </c>
      <c r="P176" s="158"/>
    </row>
    <row r="177" spans="2:16">
      <c r="B177" t="s">
        <v>303</v>
      </c>
      <c r="F177" s="14">
        <f t="shared" si="3"/>
        <v>17.4308625</v>
      </c>
      <c r="G177" s="14">
        <f t="shared" si="3"/>
        <v>61.120950000000001</v>
      </c>
      <c r="H177" s="14">
        <f t="shared" si="3"/>
        <v>11.863039110408325</v>
      </c>
      <c r="I177" s="14">
        <f t="shared" si="3"/>
        <v>0</v>
      </c>
      <c r="J177" s="14">
        <f t="shared" si="3"/>
        <v>0</v>
      </c>
      <c r="K177" s="14">
        <f t="shared" si="3"/>
        <v>0</v>
      </c>
      <c r="L177" s="14"/>
      <c r="M177" s="14">
        <f t="shared" si="4"/>
        <v>90.41485161040832</v>
      </c>
      <c r="P177" s="158"/>
    </row>
    <row r="178" spans="2:16">
      <c r="B178" t="s">
        <v>304</v>
      </c>
      <c r="F178" s="14">
        <f t="shared" si="3"/>
        <v>24.209531250000001</v>
      </c>
      <c r="G178" s="14">
        <f t="shared" si="3"/>
        <v>82.513282500000003</v>
      </c>
      <c r="H178" s="14">
        <f t="shared" si="3"/>
        <v>11.863039110408325</v>
      </c>
      <c r="I178" s="14">
        <f t="shared" si="3"/>
        <v>3.3696000000000002</v>
      </c>
      <c r="J178" s="14">
        <f t="shared" si="3"/>
        <v>0</v>
      </c>
      <c r="K178" s="14">
        <f t="shared" si="3"/>
        <v>0</v>
      </c>
      <c r="L178" s="14"/>
      <c r="M178" s="14">
        <f t="shared" si="4"/>
        <v>121.95545286040833</v>
      </c>
      <c r="P178" s="158"/>
    </row>
    <row r="179" spans="2:16">
      <c r="B179" t="s">
        <v>305</v>
      </c>
      <c r="F179" s="14">
        <f t="shared" si="3"/>
        <v>19.367625</v>
      </c>
      <c r="G179" s="14">
        <f t="shared" si="3"/>
        <v>61.120950000000001</v>
      </c>
      <c r="H179" s="14">
        <f t="shared" si="3"/>
        <v>7.9086927402722162</v>
      </c>
      <c r="I179" s="14">
        <f t="shared" si="3"/>
        <v>3.3696000000000002</v>
      </c>
      <c r="J179" s="14">
        <f t="shared" si="3"/>
        <v>0</v>
      </c>
      <c r="K179" s="14">
        <f t="shared" si="3"/>
        <v>0</v>
      </c>
      <c r="L179" s="14"/>
      <c r="M179" s="14">
        <f t="shared" si="4"/>
        <v>91.766867740272218</v>
      </c>
      <c r="P179" s="158"/>
    </row>
    <row r="180" spans="2:16">
      <c r="P180" s="158"/>
    </row>
    <row r="181" spans="2:16">
      <c r="B181" s="95" t="s">
        <v>310</v>
      </c>
      <c r="P181" s="158"/>
    </row>
    <row r="182" spans="2:16">
      <c r="F182" s="15">
        <v>1</v>
      </c>
      <c r="G182" s="15">
        <v>2</v>
      </c>
      <c r="H182" s="15">
        <v>3</v>
      </c>
      <c r="I182" s="15">
        <v>4</v>
      </c>
      <c r="J182" s="15">
        <v>5</v>
      </c>
      <c r="K182" s="15">
        <v>6</v>
      </c>
      <c r="L182" s="15"/>
      <c r="M182" s="15"/>
      <c r="P182" s="158"/>
    </row>
    <row r="183" spans="2:16" ht="14.4" thickBot="1">
      <c r="B183" s="8"/>
      <c r="C183" s="8"/>
      <c r="D183" s="8"/>
      <c r="E183" s="8"/>
      <c r="F183" s="12" t="str">
        <f>VLOOKUP(F182,$B$143:$M$147,2,0)</f>
        <v>DC</v>
      </c>
      <c r="G183" s="12" t="str">
        <f>VLOOKUP(G182,$B$143:$M$147,2,0)</f>
        <v>EV</v>
      </c>
      <c r="H183" s="12" t="str">
        <f>VLOOKUP(H182,$B$143:$M$147,2,0)</f>
        <v>EH</v>
      </c>
      <c r="I183" s="12" t="str">
        <f>VLOOKUP(I182,$B$143:$M$147,2,0)</f>
        <v>LS</v>
      </c>
      <c r="J183" s="172" t="s">
        <v>14</v>
      </c>
      <c r="K183" s="172" t="s">
        <v>14</v>
      </c>
      <c r="L183" s="12"/>
      <c r="M183" s="12" t="s">
        <v>20</v>
      </c>
      <c r="P183" s="158"/>
    </row>
    <row r="184" spans="2:16">
      <c r="F184" s="14">
        <f>VLOOKUP(F182,$B$143:$M$148,12,0)</f>
        <v>32.643209124999998</v>
      </c>
      <c r="G184" s="14">
        <f t="shared" ref="G184:K184" si="5">VLOOKUP(G182,$B$143:$M$148,12,0)</f>
        <v>148.16152243864803</v>
      </c>
      <c r="H184" s="14">
        <f t="shared" si="5"/>
        <v>29.262163139007203</v>
      </c>
      <c r="I184" s="14">
        <f>VLOOKUP(I182,$B$143:$M$148,12,0)</f>
        <v>16.174080000000004</v>
      </c>
      <c r="J184" s="14">
        <f t="shared" si="5"/>
        <v>0</v>
      </c>
      <c r="K184" s="14">
        <f t="shared" si="5"/>
        <v>0</v>
      </c>
      <c r="L184" s="14"/>
      <c r="M184" s="15" t="s">
        <v>19</v>
      </c>
      <c r="P184" s="158"/>
    </row>
    <row r="185" spans="2:16">
      <c r="B185" t="s">
        <v>300</v>
      </c>
      <c r="F185" s="14">
        <f>INDEX($F$161:$J$166,MATCH($B185,$B$161:$B$166,0),MATCH(F$183,$F$160:$J$160,0))*F$184</f>
        <v>40.804011406249998</v>
      </c>
      <c r="G185" s="14">
        <f t="shared" ref="G185:K190" si="6">INDEX($F$161:$J$166,MATCH($B185,$B$161:$B$166,0),MATCH(G$183,$F$160:$J$160,0))*G$184</f>
        <v>200.01805529217486</v>
      </c>
      <c r="H185" s="14">
        <f t="shared" si="6"/>
        <v>43.893244708510807</v>
      </c>
      <c r="I185" s="14">
        <f t="shared" si="6"/>
        <v>28.304640000000006</v>
      </c>
      <c r="J185" s="14">
        <f t="shared" si="6"/>
        <v>0</v>
      </c>
      <c r="K185" s="14">
        <f t="shared" si="6"/>
        <v>0</v>
      </c>
      <c r="L185" s="14"/>
      <c r="M185" s="14">
        <f>+SUM(F185:L185)</f>
        <v>313.01995140693566</v>
      </c>
      <c r="P185" s="158"/>
    </row>
    <row r="186" spans="2:16">
      <c r="B186" t="s">
        <v>301</v>
      </c>
      <c r="F186" s="14">
        <f t="shared" ref="F186:F190" si="7">INDEX($F$161:$J$166,MATCH($B186,$B$161:$B$166,0),MATCH(F$183,$F$160:$J$160,0))*F$184</f>
        <v>29.378888212499998</v>
      </c>
      <c r="G186" s="14">
        <f t="shared" si="6"/>
        <v>148.16152243864803</v>
      </c>
      <c r="H186" s="14">
        <f t="shared" si="6"/>
        <v>43.893244708510807</v>
      </c>
      <c r="I186" s="14">
        <f t="shared" si="6"/>
        <v>28.304640000000006</v>
      </c>
      <c r="J186" s="14">
        <f t="shared" si="6"/>
        <v>0</v>
      </c>
      <c r="K186" s="14">
        <f t="shared" si="6"/>
        <v>0</v>
      </c>
      <c r="L186" s="14"/>
      <c r="M186" s="14">
        <f t="shared" ref="M186:M190" si="8">+SUM(F186:L186)</f>
        <v>249.73829535965882</v>
      </c>
      <c r="P186" s="158"/>
    </row>
    <row r="187" spans="2:16">
      <c r="B187" t="s">
        <v>302</v>
      </c>
      <c r="F187" s="14">
        <f t="shared" si="7"/>
        <v>40.804011406249998</v>
      </c>
      <c r="G187" s="14">
        <f t="shared" si="6"/>
        <v>200.01805529217486</v>
      </c>
      <c r="H187" s="14">
        <f t="shared" si="6"/>
        <v>43.893244708510807</v>
      </c>
      <c r="I187" s="14">
        <f t="shared" si="6"/>
        <v>0</v>
      </c>
      <c r="J187" s="14">
        <f t="shared" si="6"/>
        <v>0</v>
      </c>
      <c r="K187" s="14">
        <f t="shared" si="6"/>
        <v>0</v>
      </c>
      <c r="L187" s="14"/>
      <c r="M187" s="14">
        <f t="shared" si="8"/>
        <v>284.71531140693565</v>
      </c>
      <c r="P187" s="158"/>
    </row>
    <row r="188" spans="2:16">
      <c r="B188" t="s">
        <v>303</v>
      </c>
      <c r="F188" s="14">
        <f t="shared" si="7"/>
        <v>29.378888212499998</v>
      </c>
      <c r="G188" s="14">
        <f t="shared" si="6"/>
        <v>148.16152243864803</v>
      </c>
      <c r="H188" s="14">
        <f t="shared" si="6"/>
        <v>43.893244708510807</v>
      </c>
      <c r="I188" s="14">
        <f t="shared" si="6"/>
        <v>0</v>
      </c>
      <c r="J188" s="14">
        <f t="shared" si="6"/>
        <v>0</v>
      </c>
      <c r="K188" s="14">
        <f t="shared" si="6"/>
        <v>0</v>
      </c>
      <c r="L188" s="14"/>
      <c r="M188" s="14">
        <f t="shared" si="8"/>
        <v>221.43365535965881</v>
      </c>
      <c r="P188" s="158"/>
    </row>
    <row r="189" spans="2:16">
      <c r="B189" t="s">
        <v>304</v>
      </c>
      <c r="F189" s="14">
        <f t="shared" si="7"/>
        <v>40.804011406249998</v>
      </c>
      <c r="G189" s="14">
        <f t="shared" si="6"/>
        <v>200.01805529217486</v>
      </c>
      <c r="H189" s="14">
        <f t="shared" si="6"/>
        <v>43.893244708510807</v>
      </c>
      <c r="I189" s="14">
        <f t="shared" si="6"/>
        <v>8.0870400000000018</v>
      </c>
      <c r="J189" s="14">
        <f t="shared" si="6"/>
        <v>0</v>
      </c>
      <c r="K189" s="14">
        <f t="shared" si="6"/>
        <v>0</v>
      </c>
      <c r="L189" s="14"/>
      <c r="M189" s="14">
        <f t="shared" si="8"/>
        <v>292.80235140693566</v>
      </c>
      <c r="P189" s="158"/>
    </row>
    <row r="190" spans="2:16">
      <c r="B190" t="s">
        <v>305</v>
      </c>
      <c r="F190" s="14">
        <f t="shared" si="7"/>
        <v>32.643209124999998</v>
      </c>
      <c r="G190" s="14">
        <f t="shared" si="6"/>
        <v>148.16152243864803</v>
      </c>
      <c r="H190" s="14">
        <f t="shared" si="6"/>
        <v>29.262163139007203</v>
      </c>
      <c r="I190" s="14">
        <f t="shared" si="6"/>
        <v>8.0870400000000018</v>
      </c>
      <c r="J190" s="14">
        <f t="shared" si="6"/>
        <v>0</v>
      </c>
      <c r="K190" s="14">
        <f t="shared" si="6"/>
        <v>0</v>
      </c>
      <c r="L190" s="14"/>
      <c r="M190" s="14">
        <f t="shared" si="8"/>
        <v>218.15393470265525</v>
      </c>
      <c r="P190" s="158"/>
    </row>
    <row r="192" spans="2:16">
      <c r="B192" s="95" t="s">
        <v>311</v>
      </c>
    </row>
    <row r="193" spans="2:13">
      <c r="F193" s="15">
        <v>1</v>
      </c>
      <c r="G193" s="15">
        <v>2</v>
      </c>
      <c r="H193" s="15">
        <v>3</v>
      </c>
      <c r="I193" s="15">
        <v>4</v>
      </c>
      <c r="J193" s="15"/>
      <c r="K193" s="15"/>
      <c r="L193" s="15"/>
      <c r="M193" s="15"/>
    </row>
    <row r="194" spans="2:13" ht="14.4" thickBot="1">
      <c r="B194" s="8"/>
      <c r="C194" s="8"/>
      <c r="D194" s="8"/>
      <c r="E194" s="8"/>
      <c r="F194" s="12" t="str">
        <f>VLOOKUP(F193,$B$152:$M$156,2,0)</f>
        <v>EH</v>
      </c>
      <c r="G194" s="12" t="str">
        <f>VLOOKUP(G193,$B$152:$M$156,2,0)</f>
        <v>LS</v>
      </c>
      <c r="H194" s="12" t="str">
        <f>VLOOKUP(H193,$B$152:$M$156,2,0)</f>
        <v>EQ</v>
      </c>
      <c r="I194" s="12" t="str">
        <f>VLOOKUP(I193,$B$152:$M$156,2,0)</f>
        <v>EQ</v>
      </c>
      <c r="J194" s="12"/>
      <c r="K194" s="12"/>
      <c r="L194" s="12"/>
      <c r="M194" s="172" t="s">
        <v>319</v>
      </c>
    </row>
    <row r="195" spans="2:13">
      <c r="F195" s="14">
        <f>VLOOKUP(F193,$B$152:$M$156,9,0)</f>
        <v>18.334410593867911</v>
      </c>
      <c r="G195" s="14">
        <f>VLOOKUP(G193,$B$152:$M$156,9,0)</f>
        <v>3.5774459695352019</v>
      </c>
      <c r="H195" s="14">
        <f>VLOOKUP(H193,$B$152:$M$156,9,0)</f>
        <v>14.584095881224449</v>
      </c>
      <c r="I195" s="14">
        <f>VLOOKUP(I193,$B$152:$M$156,9,0)</f>
        <v>18.109929375</v>
      </c>
      <c r="J195" s="14"/>
      <c r="K195" s="14"/>
      <c r="L195" s="14"/>
      <c r="M195" s="15" t="s">
        <v>19</v>
      </c>
    </row>
    <row r="196" spans="2:13">
      <c r="B196" t="s">
        <v>300</v>
      </c>
      <c r="F196" s="14">
        <f t="shared" ref="F196:I201" si="9">INDEX($F$161:$J$166,MATCH($B196,$B$161:$B$166,0),MATCH(F$194,$F$160:$J$160,0))*F$195</f>
        <v>27.501615890801865</v>
      </c>
      <c r="G196" s="14">
        <f t="shared" si="9"/>
        <v>6.2605304466866034</v>
      </c>
      <c r="H196" s="14">
        <f t="shared" si="9"/>
        <v>0</v>
      </c>
      <c r="I196" s="14">
        <f t="shared" si="9"/>
        <v>0</v>
      </c>
      <c r="J196" s="14"/>
      <c r="K196" s="14"/>
      <c r="L196" s="14"/>
      <c r="M196" s="14">
        <f t="shared" ref="M196:M201" si="10">+SUM(F196:L196)</f>
        <v>33.762146337488467</v>
      </c>
    </row>
    <row r="197" spans="2:13">
      <c r="B197" t="s">
        <v>301</v>
      </c>
      <c r="F197" s="14">
        <f t="shared" si="9"/>
        <v>27.501615890801865</v>
      </c>
      <c r="G197" s="14">
        <f t="shared" si="9"/>
        <v>6.2605304466866034</v>
      </c>
      <c r="H197" s="14">
        <f t="shared" si="9"/>
        <v>0</v>
      </c>
      <c r="I197" s="14">
        <f t="shared" si="9"/>
        <v>0</v>
      </c>
      <c r="J197" s="14"/>
      <c r="K197" s="14"/>
      <c r="L197" s="14"/>
      <c r="M197" s="14">
        <f t="shared" si="10"/>
        <v>33.762146337488467</v>
      </c>
    </row>
    <row r="198" spans="2:13">
      <c r="B198" t="s">
        <v>302</v>
      </c>
      <c r="F198" s="14">
        <f t="shared" si="9"/>
        <v>27.501615890801865</v>
      </c>
      <c r="G198" s="14">
        <f t="shared" si="9"/>
        <v>0</v>
      </c>
      <c r="H198" s="14">
        <f t="shared" si="9"/>
        <v>0</v>
      </c>
      <c r="I198" s="14">
        <f t="shared" si="9"/>
        <v>0</v>
      </c>
      <c r="J198" s="14"/>
      <c r="K198" s="14"/>
      <c r="L198" s="14"/>
      <c r="M198" s="14">
        <f t="shared" si="10"/>
        <v>27.501615890801865</v>
      </c>
    </row>
    <row r="199" spans="2:13">
      <c r="B199" t="s">
        <v>303</v>
      </c>
      <c r="F199" s="14">
        <f t="shared" si="9"/>
        <v>27.501615890801865</v>
      </c>
      <c r="G199" s="14">
        <f t="shared" si="9"/>
        <v>0</v>
      </c>
      <c r="H199" s="14">
        <f t="shared" si="9"/>
        <v>0</v>
      </c>
      <c r="I199" s="14">
        <f t="shared" si="9"/>
        <v>0</v>
      </c>
      <c r="J199" s="14"/>
      <c r="K199" s="14"/>
      <c r="L199" s="14"/>
      <c r="M199" s="14">
        <f t="shared" si="10"/>
        <v>27.501615890801865</v>
      </c>
    </row>
    <row r="200" spans="2:13">
      <c r="B200" t="s">
        <v>304</v>
      </c>
      <c r="F200" s="14">
        <f t="shared" si="9"/>
        <v>27.501615890801865</v>
      </c>
      <c r="G200" s="14">
        <f t="shared" si="9"/>
        <v>1.7887229847676009</v>
      </c>
      <c r="H200" s="14">
        <f t="shared" si="9"/>
        <v>14.584095881224449</v>
      </c>
      <c r="I200" s="14">
        <f t="shared" si="9"/>
        <v>18.109929375</v>
      </c>
      <c r="J200" s="14"/>
      <c r="K200" s="14"/>
      <c r="L200" s="14"/>
      <c r="M200" s="14">
        <f t="shared" si="10"/>
        <v>61.984364131793917</v>
      </c>
    </row>
    <row r="201" spans="2:13">
      <c r="B201" t="s">
        <v>305</v>
      </c>
      <c r="F201" s="14">
        <f t="shared" si="9"/>
        <v>18.334410593867911</v>
      </c>
      <c r="G201" s="14">
        <f t="shared" si="9"/>
        <v>1.7887229847676009</v>
      </c>
      <c r="H201" s="14">
        <f t="shared" si="9"/>
        <v>14.584095881224449</v>
      </c>
      <c r="I201" s="14">
        <f t="shared" si="9"/>
        <v>18.109929375</v>
      </c>
      <c r="J201" s="14"/>
      <c r="K201" s="14"/>
      <c r="L201" s="14"/>
      <c r="M201" s="14">
        <f t="shared" si="10"/>
        <v>52.81715883485996</v>
      </c>
    </row>
    <row r="203" spans="2:13">
      <c r="B203" s="95" t="s">
        <v>320</v>
      </c>
    </row>
    <row r="204" spans="2:13">
      <c r="F204" s="15">
        <v>1</v>
      </c>
      <c r="G204" s="15">
        <v>2</v>
      </c>
      <c r="H204" s="15">
        <v>3</v>
      </c>
      <c r="I204" s="15">
        <v>4</v>
      </c>
      <c r="J204" s="15"/>
      <c r="K204" s="15"/>
      <c r="L204" s="15"/>
      <c r="M204" s="15"/>
    </row>
    <row r="205" spans="2:13" ht="14.4" thickBot="1">
      <c r="B205" s="8"/>
      <c r="C205" s="8"/>
      <c r="D205" s="8"/>
      <c r="E205" s="8"/>
      <c r="F205" s="12" t="str">
        <f>VLOOKUP(F204,$B$152:$M$156,2,0)</f>
        <v>EH</v>
      </c>
      <c r="G205" s="12" t="str">
        <f>VLOOKUP(G204,$B$152:$M$156,2,0)</f>
        <v>LS</v>
      </c>
      <c r="H205" s="12" t="str">
        <f>VLOOKUP(H204,$B$152:$M$156,2,0)</f>
        <v>EQ</v>
      </c>
      <c r="I205" s="12" t="str">
        <f>VLOOKUP(I204,$B$152:$M$156,2,0)</f>
        <v>EQ</v>
      </c>
      <c r="J205" s="12"/>
      <c r="K205" s="12"/>
      <c r="L205" s="12"/>
      <c r="M205" s="12" t="s">
        <v>21</v>
      </c>
    </row>
    <row r="206" spans="2:13">
      <c r="F206" s="14">
        <f>VLOOKUP(F204,$B$152:$M$156,12,0)</f>
        <v>37.585541717429223</v>
      </c>
      <c r="G206" s="14">
        <f>VLOOKUP(G204,$B$152:$M$156,12,0)</f>
        <v>11.000646356320747</v>
      </c>
      <c r="H206" s="14">
        <f>VLOOKUP(H204,$B$152:$M$156,12,0)</f>
        <v>53.815313801718219</v>
      </c>
      <c r="I206" s="14">
        <f>VLOOKUP(I204,$B$152:$M$156,12,0)</f>
        <v>61.573759874999993</v>
      </c>
      <c r="J206" s="14"/>
      <c r="K206" s="14"/>
      <c r="L206" s="14"/>
      <c r="M206" s="15" t="s">
        <v>19</v>
      </c>
    </row>
    <row r="207" spans="2:13">
      <c r="B207" t="s">
        <v>300</v>
      </c>
      <c r="F207" s="14">
        <f t="shared" ref="F207:I212" si="11">INDEX($F$161:$J$166,MATCH($B207,$B$161:$B$166,0),MATCH(F$205,$F$160:$J$160,0))*F$206</f>
        <v>56.378312576143834</v>
      </c>
      <c r="G207" s="14">
        <f t="shared" si="11"/>
        <v>19.251131123561308</v>
      </c>
      <c r="H207" s="14">
        <f t="shared" si="11"/>
        <v>0</v>
      </c>
      <c r="I207" s="14">
        <f t="shared" si="11"/>
        <v>0</v>
      </c>
      <c r="J207" s="14"/>
      <c r="K207" s="14"/>
      <c r="L207" s="14"/>
      <c r="M207" s="14">
        <f t="shared" ref="M207:M212" si="12">+SUM(F207:L207)</f>
        <v>75.629443699705149</v>
      </c>
    </row>
    <row r="208" spans="2:13">
      <c r="B208" t="s">
        <v>301</v>
      </c>
      <c r="F208" s="14">
        <f t="shared" si="11"/>
        <v>56.378312576143834</v>
      </c>
      <c r="G208" s="14">
        <f t="shared" si="11"/>
        <v>19.251131123561308</v>
      </c>
      <c r="H208" s="14">
        <f t="shared" si="11"/>
        <v>0</v>
      </c>
      <c r="I208" s="14">
        <f t="shared" si="11"/>
        <v>0</v>
      </c>
      <c r="J208" s="14"/>
      <c r="K208" s="14"/>
      <c r="L208" s="14"/>
      <c r="M208" s="14">
        <f t="shared" si="12"/>
        <v>75.629443699705149</v>
      </c>
    </row>
    <row r="209" spans="2:16">
      <c r="B209" t="s">
        <v>302</v>
      </c>
      <c r="F209" s="14">
        <f t="shared" si="11"/>
        <v>56.378312576143834</v>
      </c>
      <c r="G209" s="14">
        <f t="shared" si="11"/>
        <v>0</v>
      </c>
      <c r="H209" s="14">
        <f t="shared" si="11"/>
        <v>0</v>
      </c>
      <c r="I209" s="14">
        <f t="shared" si="11"/>
        <v>0</v>
      </c>
      <c r="J209" s="14"/>
      <c r="K209" s="14"/>
      <c r="L209" s="14"/>
      <c r="M209" s="14">
        <f t="shared" si="12"/>
        <v>56.378312576143834</v>
      </c>
    </row>
    <row r="210" spans="2:16">
      <c r="B210" t="s">
        <v>303</v>
      </c>
      <c r="F210" s="14">
        <f t="shared" si="11"/>
        <v>56.378312576143834</v>
      </c>
      <c r="G210" s="14">
        <f t="shared" si="11"/>
        <v>0</v>
      </c>
      <c r="H210" s="14">
        <f t="shared" si="11"/>
        <v>0</v>
      </c>
      <c r="I210" s="14">
        <f t="shared" si="11"/>
        <v>0</v>
      </c>
      <c r="J210" s="14"/>
      <c r="K210" s="14"/>
      <c r="L210" s="14"/>
      <c r="M210" s="14">
        <f t="shared" si="12"/>
        <v>56.378312576143834</v>
      </c>
    </row>
    <row r="211" spans="2:16">
      <c r="B211" t="s">
        <v>304</v>
      </c>
      <c r="F211" s="14">
        <f t="shared" si="11"/>
        <v>56.378312576143834</v>
      </c>
      <c r="G211" s="14">
        <f t="shared" si="11"/>
        <v>5.5003231781603734</v>
      </c>
      <c r="H211" s="14">
        <f t="shared" si="11"/>
        <v>53.815313801718219</v>
      </c>
      <c r="I211" s="14">
        <f t="shared" si="11"/>
        <v>61.573759874999993</v>
      </c>
      <c r="J211" s="14"/>
      <c r="K211" s="14"/>
      <c r="L211" s="14"/>
      <c r="M211" s="14">
        <f t="shared" si="12"/>
        <v>177.26770943102241</v>
      </c>
    </row>
    <row r="212" spans="2:16">
      <c r="B212" t="s">
        <v>305</v>
      </c>
      <c r="F212" s="14">
        <f t="shared" si="11"/>
        <v>37.585541717429223</v>
      </c>
      <c r="G212" s="14">
        <f t="shared" si="11"/>
        <v>5.5003231781603734</v>
      </c>
      <c r="H212" s="14">
        <f t="shared" si="11"/>
        <v>53.815313801718219</v>
      </c>
      <c r="I212" s="14">
        <f t="shared" si="11"/>
        <v>61.573759874999993</v>
      </c>
      <c r="J212" s="14"/>
      <c r="K212" s="14"/>
      <c r="L212" s="14"/>
      <c r="M212" s="14">
        <f t="shared" si="12"/>
        <v>158.47493857230779</v>
      </c>
    </row>
    <row r="214" spans="2:16">
      <c r="B214" s="95" t="s">
        <v>312</v>
      </c>
    </row>
    <row r="215" spans="2:16">
      <c r="B215" t="s">
        <v>313</v>
      </c>
    </row>
    <row r="217" spans="2:16">
      <c r="D217" t="s">
        <v>346</v>
      </c>
    </row>
    <row r="219" spans="2:16">
      <c r="B219" s="95" t="s">
        <v>58</v>
      </c>
    </row>
    <row r="221" spans="2:16" ht="15">
      <c r="B221" t="s">
        <v>387</v>
      </c>
      <c r="M221" t="s">
        <v>76</v>
      </c>
      <c r="O221" t="s">
        <v>418</v>
      </c>
    </row>
    <row r="223" spans="2:16" ht="15.6" thickBot="1">
      <c r="B223" s="8"/>
      <c r="C223" s="8"/>
      <c r="D223" s="8"/>
      <c r="E223" s="8"/>
      <c r="F223" s="10" t="s">
        <v>50</v>
      </c>
      <c r="G223" s="189" t="s">
        <v>51</v>
      </c>
      <c r="H223" s="10" t="s">
        <v>52</v>
      </c>
      <c r="I223" s="10" t="s">
        <v>315</v>
      </c>
      <c r="J223" s="10" t="s">
        <v>53</v>
      </c>
      <c r="K223" s="10" t="s">
        <v>22</v>
      </c>
      <c r="L223" s="10" t="s">
        <v>54</v>
      </c>
      <c r="M223" s="172" t="s">
        <v>314</v>
      </c>
      <c r="N223" s="8"/>
    </row>
    <row r="224" spans="2:16">
      <c r="B224" t="s">
        <v>300</v>
      </c>
      <c r="F224" s="14">
        <f>VLOOKUP($B224,$B$174:$M$179,12,0)</f>
        <v>130.37945286040832</v>
      </c>
      <c r="G224" s="14">
        <f t="shared" ref="G224:G229" si="13">VLOOKUP($B224,$B$185:$M$190,12,0)</f>
        <v>313.01995140693566</v>
      </c>
      <c r="H224" s="14">
        <f t="shared" ref="H224:H229" si="14">+VLOOKUP($B224,B207:M212,12,0)</f>
        <v>75.629443699705149</v>
      </c>
      <c r="I224" s="15" t="str">
        <f>IF(H224&gt;G224,"Vuelco","ok")</f>
        <v>ok</v>
      </c>
      <c r="J224" s="14">
        <f>((G224-H224)/F224)</f>
        <v>1.8207662518832191</v>
      </c>
      <c r="K224" s="14">
        <f>(0.5*$C$37-J224)</f>
        <v>2.9233748116781033E-2</v>
      </c>
      <c r="L224" s="14">
        <f>$C$37*0.25</f>
        <v>0.92500000000000004</v>
      </c>
      <c r="M224" s="176">
        <f>+(L224)/ABS(K224)</f>
        <v>31.641512279057462</v>
      </c>
      <c r="N224" s="17" t="str">
        <f>+IF(M224&gt;1,"Ok","Fail")</f>
        <v>Ok</v>
      </c>
      <c r="P224"/>
    </row>
    <row r="225" spans="2:16">
      <c r="B225" t="s">
        <v>301</v>
      </c>
      <c r="F225" s="14">
        <f t="shared" ref="F225:F229" si="15">VLOOKUP($B225,$B$174:$M$179,12,0)</f>
        <v>102.20845161040832</v>
      </c>
      <c r="G225" s="14">
        <f t="shared" si="13"/>
        <v>249.73829535965882</v>
      </c>
      <c r="H225" s="14">
        <f t="shared" si="14"/>
        <v>75.629443699705149</v>
      </c>
      <c r="I225" s="15" t="str">
        <f t="shared" ref="I225:I229" si="16">IF(H225&gt;G225,"Vuelco","ok")</f>
        <v>ok</v>
      </c>
      <c r="J225" s="14">
        <f t="shared" ref="J225:J229" si="17">((G225-H225)/F225)</f>
        <v>1.7034682447163052</v>
      </c>
      <c r="K225" s="14">
        <f t="shared" ref="K225:K229" si="18">(0.5*$C$37-J225)</f>
        <v>0.14653175528369489</v>
      </c>
      <c r="L225" s="14">
        <f>$C$37*0.25</f>
        <v>0.92500000000000004</v>
      </c>
      <c r="M225" s="176">
        <f t="shared" ref="M225:M229" si="19">+(L225)/ABS(K225)</f>
        <v>6.3126248519246948</v>
      </c>
      <c r="N225" s="17" t="str">
        <f t="shared" ref="N225:N228" si="20">+IF(M225&gt;1,"Ok","Fail")</f>
        <v>Ok</v>
      </c>
      <c r="P225"/>
    </row>
    <row r="226" spans="2:16">
      <c r="B226" t="s">
        <v>302</v>
      </c>
      <c r="F226" s="14">
        <f t="shared" si="15"/>
        <v>118.58585286040832</v>
      </c>
      <c r="G226" s="14">
        <f t="shared" si="13"/>
        <v>284.71531140693565</v>
      </c>
      <c r="H226" s="14">
        <f t="shared" si="14"/>
        <v>56.378312576143834</v>
      </c>
      <c r="I226" s="15" t="str">
        <f t="shared" si="16"/>
        <v>ok</v>
      </c>
      <c r="J226" s="14">
        <f t="shared" si="17"/>
        <v>1.9254994868534236</v>
      </c>
      <c r="K226" s="14">
        <f t="shared" si="18"/>
        <v>-7.5499486853423559E-2</v>
      </c>
      <c r="L226" s="14">
        <f>$C$37*0.25</f>
        <v>0.92500000000000004</v>
      </c>
      <c r="M226" s="176">
        <f t="shared" si="19"/>
        <v>12.251738899839363</v>
      </c>
      <c r="N226" s="17" t="str">
        <f t="shared" si="20"/>
        <v>Ok</v>
      </c>
    </row>
    <row r="227" spans="2:16">
      <c r="B227" t="s">
        <v>303</v>
      </c>
      <c r="F227" s="14">
        <f t="shared" si="15"/>
        <v>90.41485161040832</v>
      </c>
      <c r="G227" s="14">
        <f t="shared" si="13"/>
        <v>221.43365535965881</v>
      </c>
      <c r="H227" s="14">
        <f t="shared" si="14"/>
        <v>56.378312576143834</v>
      </c>
      <c r="I227" s="15" t="str">
        <f t="shared" si="16"/>
        <v>ok</v>
      </c>
      <c r="J227" s="14">
        <f t="shared" si="17"/>
        <v>1.8255335251196083</v>
      </c>
      <c r="K227" s="14">
        <f t="shared" si="18"/>
        <v>2.4466474880391775E-2</v>
      </c>
      <c r="L227" s="14">
        <f>$C$37*0.25</f>
        <v>0.92500000000000004</v>
      </c>
      <c r="M227" s="176">
        <f t="shared" si="19"/>
        <v>37.806835865076948</v>
      </c>
      <c r="N227" s="17" t="str">
        <f t="shared" si="20"/>
        <v>Ok</v>
      </c>
    </row>
    <row r="228" spans="2:16">
      <c r="B228" t="s">
        <v>304</v>
      </c>
      <c r="F228" s="14">
        <f t="shared" si="15"/>
        <v>121.95545286040833</v>
      </c>
      <c r="G228" s="14">
        <f t="shared" si="13"/>
        <v>292.80235140693566</v>
      </c>
      <c r="H228" s="14">
        <f t="shared" si="14"/>
        <v>177.26770943102241</v>
      </c>
      <c r="I228" s="15" t="str">
        <f t="shared" si="16"/>
        <v>ok</v>
      </c>
      <c r="J228" s="14">
        <f t="shared" si="17"/>
        <v>0.9473511783696591</v>
      </c>
      <c r="K228" s="14">
        <f t="shared" si="18"/>
        <v>0.90264882163034099</v>
      </c>
      <c r="L228" s="14">
        <f>$C$37*0.333</f>
        <v>1.2321000000000002</v>
      </c>
      <c r="M228" s="176">
        <f t="shared" si="19"/>
        <v>1.3649826715273532</v>
      </c>
      <c r="N228" s="17" t="str">
        <f t="shared" si="20"/>
        <v>Ok</v>
      </c>
    </row>
    <row r="229" spans="2:16">
      <c r="B229" t="s">
        <v>305</v>
      </c>
      <c r="F229" s="14">
        <f t="shared" si="15"/>
        <v>91.766867740272218</v>
      </c>
      <c r="G229" s="14">
        <f t="shared" si="13"/>
        <v>218.15393470265525</v>
      </c>
      <c r="H229" s="14">
        <f t="shared" si="14"/>
        <v>158.47493857230779</v>
      </c>
      <c r="I229" s="15" t="str">
        <f t="shared" si="16"/>
        <v>ok</v>
      </c>
      <c r="J229" s="14">
        <f t="shared" si="17"/>
        <v>0.65033271375521862</v>
      </c>
      <c r="K229" s="14">
        <f t="shared" si="18"/>
        <v>1.1996672862447815</v>
      </c>
      <c r="L229" s="14">
        <f>$C$37*0.333</f>
        <v>1.2321000000000002</v>
      </c>
      <c r="M229" s="176">
        <f t="shared" si="19"/>
        <v>1.0270347571589955</v>
      </c>
      <c r="N229" s="17" t="str">
        <f>+IF(M229&gt;=1,"Ok","Fail")</f>
        <v>Ok</v>
      </c>
    </row>
    <row r="232" spans="2:16">
      <c r="B232" s="95" t="s">
        <v>57</v>
      </c>
      <c r="E232" t="s">
        <v>316</v>
      </c>
    </row>
    <row r="234" spans="2:16" ht="15.6" thickBot="1">
      <c r="B234" s="8"/>
      <c r="C234" s="8"/>
      <c r="D234" s="8"/>
      <c r="E234" s="8"/>
      <c r="F234" s="10" t="s">
        <v>50</v>
      </c>
      <c r="G234" s="10" t="s">
        <v>23</v>
      </c>
      <c r="H234" s="10" t="s">
        <v>24</v>
      </c>
      <c r="I234" s="10" t="s">
        <v>25</v>
      </c>
      <c r="J234" s="10" t="s">
        <v>26</v>
      </c>
      <c r="K234" s="189" t="s">
        <v>319</v>
      </c>
      <c r="L234" s="10"/>
      <c r="M234" s="172" t="s">
        <v>314</v>
      </c>
      <c r="N234" s="8"/>
    </row>
    <row r="235" spans="2:16">
      <c r="B235" t="s">
        <v>300</v>
      </c>
      <c r="F235" s="14">
        <f t="shared" ref="F235:F240" si="21">VLOOKUP($B235,$B$174:$M$179,12,0)</f>
        <v>130.37945286040832</v>
      </c>
      <c r="G235" s="14">
        <f>TAN(RADIANS($C$53))</f>
        <v>0.70020753820970971</v>
      </c>
      <c r="H235" s="14">
        <f t="shared" ref="H235:H240" si="22">+F235*G235</f>
        <v>91.292675720515405</v>
      </c>
      <c r="I235" s="14">
        <v>0.8</v>
      </c>
      <c r="J235" s="14">
        <f t="shared" ref="J235:J240" si="23">+I235*H235</f>
        <v>73.034140576412327</v>
      </c>
      <c r="K235" s="14">
        <f t="shared" ref="K235:K240" si="24">+VLOOKUP($B235,$B$196:$M$201,12,0)</f>
        <v>33.762146337488467</v>
      </c>
      <c r="L235" s="14"/>
      <c r="M235" s="175">
        <f>+J235/K235</f>
        <v>2.1631960197778488</v>
      </c>
      <c r="N235" s="15" t="str">
        <f>+IF(M235&gt;1,"Ok","Fail")</f>
        <v>Ok</v>
      </c>
    </row>
    <row r="236" spans="2:16">
      <c r="B236" t="s">
        <v>301</v>
      </c>
      <c r="F236" s="14">
        <f t="shared" si="21"/>
        <v>102.20845161040832</v>
      </c>
      <c r="G236" s="14">
        <f t="shared" ref="G236:G240" si="25">TAN(RADIANS($C$53))</f>
        <v>0.70020753820970971</v>
      </c>
      <c r="H236" s="14">
        <f t="shared" si="22"/>
        <v>71.567128286350254</v>
      </c>
      <c r="I236" s="14">
        <v>0.8</v>
      </c>
      <c r="J236" s="14">
        <f t="shared" si="23"/>
        <v>57.253702629080209</v>
      </c>
      <c r="K236" s="14">
        <f t="shared" si="24"/>
        <v>33.762146337488467</v>
      </c>
      <c r="L236" s="14"/>
      <c r="M236" s="175">
        <f t="shared" ref="M236:M240" si="26">+J236/K236</f>
        <v>1.6957957013979124</v>
      </c>
      <c r="N236" s="15" t="str">
        <f t="shared" ref="N236:N240" si="27">+IF(M236&gt;1,"Ok","Fail")</f>
        <v>Ok</v>
      </c>
    </row>
    <row r="237" spans="2:16">
      <c r="B237" t="s">
        <v>302</v>
      </c>
      <c r="F237" s="14">
        <f t="shared" si="21"/>
        <v>118.58585286040832</v>
      </c>
      <c r="G237" s="14">
        <f t="shared" si="25"/>
        <v>0.70020753820970971</v>
      </c>
      <c r="H237" s="14">
        <f t="shared" si="22"/>
        <v>83.034708097885371</v>
      </c>
      <c r="I237" s="14">
        <v>0.8</v>
      </c>
      <c r="J237" s="14">
        <f t="shared" si="23"/>
        <v>66.4277664783083</v>
      </c>
      <c r="K237" s="14">
        <f t="shared" si="24"/>
        <v>27.501615890801865</v>
      </c>
      <c r="L237" s="14"/>
      <c r="M237" s="175">
        <f t="shared" si="26"/>
        <v>2.4154132157930981</v>
      </c>
      <c r="N237" s="15" t="str">
        <f t="shared" si="27"/>
        <v>Ok</v>
      </c>
    </row>
    <row r="238" spans="2:16">
      <c r="B238" t="s">
        <v>303</v>
      </c>
      <c r="F238" s="14">
        <f t="shared" si="21"/>
        <v>90.41485161040832</v>
      </c>
      <c r="G238" s="14">
        <f t="shared" si="25"/>
        <v>0.70020753820970971</v>
      </c>
      <c r="H238" s="14">
        <f t="shared" si="22"/>
        <v>63.30916066372022</v>
      </c>
      <c r="I238" s="14">
        <v>0.8</v>
      </c>
      <c r="J238" s="14">
        <f t="shared" si="23"/>
        <v>50.647328530976182</v>
      </c>
      <c r="K238" s="14">
        <f t="shared" si="24"/>
        <v>27.501615890801865</v>
      </c>
      <c r="L238" s="14"/>
      <c r="M238" s="175">
        <f t="shared" si="26"/>
        <v>1.8416128249364281</v>
      </c>
      <c r="N238" s="15" t="str">
        <f t="shared" si="27"/>
        <v>Ok</v>
      </c>
    </row>
    <row r="239" spans="2:16">
      <c r="B239" t="s">
        <v>304</v>
      </c>
      <c r="F239" s="14">
        <f t="shared" si="21"/>
        <v>121.95545286040833</v>
      </c>
      <c r="G239" s="14">
        <f t="shared" si="25"/>
        <v>0.70020753820970971</v>
      </c>
      <c r="H239" s="14">
        <f t="shared" si="22"/>
        <v>85.394127418636813</v>
      </c>
      <c r="I239" s="14">
        <v>1</v>
      </c>
      <c r="J239" s="14">
        <f t="shared" si="23"/>
        <v>85.394127418636813</v>
      </c>
      <c r="K239" s="14">
        <f t="shared" si="24"/>
        <v>61.984364131793917</v>
      </c>
      <c r="L239" s="14"/>
      <c r="M239" s="175">
        <f t="shared" si="26"/>
        <v>1.3776720728645053</v>
      </c>
      <c r="N239" s="15" t="str">
        <f t="shared" si="27"/>
        <v>Ok</v>
      </c>
    </row>
    <row r="240" spans="2:16">
      <c r="B240" t="s">
        <v>305</v>
      </c>
      <c r="F240" s="14">
        <f t="shared" si="21"/>
        <v>91.766867740272218</v>
      </c>
      <c r="G240" s="14">
        <f t="shared" si="25"/>
        <v>0.70020753820970971</v>
      </c>
      <c r="H240" s="14">
        <f t="shared" si="22"/>
        <v>64.255852549632039</v>
      </c>
      <c r="I240" s="14">
        <v>1</v>
      </c>
      <c r="J240" s="14">
        <f t="shared" si="23"/>
        <v>64.255852549632039</v>
      </c>
      <c r="K240" s="14">
        <f t="shared" si="24"/>
        <v>52.81715883485996</v>
      </c>
      <c r="L240" s="14"/>
      <c r="M240" s="175">
        <f t="shared" si="26"/>
        <v>1.2165715454429631</v>
      </c>
      <c r="N240" s="15" t="str">
        <f t="shared" si="27"/>
        <v>Ok</v>
      </c>
    </row>
    <row r="241" spans="1:31">
      <c r="K241" s="160"/>
      <c r="L241" s="161" t="str">
        <f>IF(MIN(M235:M240)&lt;1,"         VER 7.3 Requiere Dentellon"," No requiere uña de enganche")</f>
        <v xml:space="preserve"> No requiere uña de enganche</v>
      </c>
      <c r="M241" s="161"/>
    </row>
    <row r="242" spans="1:31">
      <c r="A242" t="s">
        <v>133</v>
      </c>
      <c r="B242" s="95" t="s">
        <v>321</v>
      </c>
      <c r="K242" s="3"/>
    </row>
    <row r="243" spans="1:31">
      <c r="K243" s="3"/>
    </row>
    <row r="245" spans="1:31">
      <c r="P245"/>
    </row>
    <row r="246" spans="1:31">
      <c r="P246" s="95"/>
    </row>
    <row r="247" spans="1:31"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97"/>
      <c r="AA247" s="15"/>
      <c r="AB247" s="15"/>
      <c r="AC247" s="15"/>
    </row>
    <row r="248" spans="1:31">
      <c r="D248" s="25" t="s">
        <v>322</v>
      </c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</row>
    <row r="249" spans="1:31" ht="9.75" customHeight="1">
      <c r="N249" s="178"/>
      <c r="P249" s="14"/>
      <c r="Q249" s="3"/>
      <c r="R249" s="14"/>
      <c r="S249" s="14"/>
      <c r="T249" s="14"/>
      <c r="U249" s="14"/>
      <c r="V249" s="14"/>
      <c r="W249" s="179"/>
      <c r="X249" s="14"/>
      <c r="Y249" s="14"/>
      <c r="Z249" s="14"/>
      <c r="AA249" s="14"/>
      <c r="AB249" s="14"/>
      <c r="AC249" s="14"/>
    </row>
    <row r="250" spans="1:31">
      <c r="P250"/>
    </row>
    <row r="251" spans="1:31">
      <c r="D251" s="25" t="s">
        <v>334</v>
      </c>
      <c r="N251" s="15"/>
      <c r="Y251" s="95"/>
    </row>
    <row r="252" spans="1:31">
      <c r="J252" s="2"/>
      <c r="N252" s="2"/>
      <c r="P252" s="95"/>
      <c r="Y252" s="25"/>
      <c r="Z252" s="97"/>
      <c r="AA252" s="180"/>
      <c r="AB252" s="182"/>
    </row>
    <row r="253" spans="1:31" ht="12.75" customHeight="1">
      <c r="D253" s="25" t="s">
        <v>323</v>
      </c>
      <c r="N253" s="2"/>
      <c r="S253" s="15"/>
      <c r="T253" s="15"/>
      <c r="U253" s="15"/>
      <c r="V253" s="15"/>
      <c r="W253" s="15"/>
      <c r="Y253" s="25"/>
      <c r="Z253" s="15"/>
      <c r="AA253" s="180"/>
    </row>
    <row r="254" spans="1:31">
      <c r="S254" s="15"/>
      <c r="T254" s="15"/>
      <c r="U254" s="15"/>
      <c r="V254" s="15"/>
      <c r="W254" s="15"/>
      <c r="Y254" s="25"/>
      <c r="Z254" s="183"/>
    </row>
    <row r="255" spans="1:31">
      <c r="B255" t="s">
        <v>203</v>
      </c>
      <c r="C255" s="132">
        <v>0.3</v>
      </c>
      <c r="D255" t="s">
        <v>0</v>
      </c>
      <c r="S255" s="184"/>
      <c r="T255" s="185"/>
      <c r="U255" s="186"/>
      <c r="V255" s="14"/>
      <c r="W255" s="14"/>
      <c r="AB255" s="15"/>
      <c r="AC255" s="15"/>
      <c r="AD255" s="15"/>
      <c r="AE255" s="15"/>
    </row>
    <row r="256" spans="1:31">
      <c r="B256" t="s">
        <v>188</v>
      </c>
      <c r="C256" s="132">
        <f>MAX(+CEILING(C32/2,0.05),0.3)</f>
        <v>0.35000000000000003</v>
      </c>
      <c r="D256" t="s">
        <v>0</v>
      </c>
      <c r="S256" s="184"/>
      <c r="T256" s="185"/>
      <c r="U256" s="186"/>
      <c r="V256" s="14"/>
      <c r="W256" s="14"/>
      <c r="AB256" s="15"/>
      <c r="AC256" s="15"/>
      <c r="AD256" s="15"/>
      <c r="AE256" s="15"/>
    </row>
    <row r="257" spans="2:31">
      <c r="B257" t="s">
        <v>342</v>
      </c>
      <c r="C257" s="132">
        <v>0</v>
      </c>
      <c r="D257" t="s">
        <v>0</v>
      </c>
      <c r="S257" s="184"/>
      <c r="T257" s="185"/>
      <c r="U257" s="186"/>
      <c r="V257" s="14"/>
      <c r="W257" s="14"/>
      <c r="AB257" s="15"/>
      <c r="AC257" s="15"/>
      <c r="AD257" s="15"/>
      <c r="AE257" s="15"/>
    </row>
    <row r="258" spans="2:31">
      <c r="B258"/>
      <c r="C258" s="132"/>
      <c r="D258"/>
      <c r="V258" s="14"/>
      <c r="W258" s="14"/>
      <c r="AB258" s="15"/>
      <c r="AC258" s="15"/>
      <c r="AD258" s="15"/>
      <c r="AE258" s="15"/>
    </row>
    <row r="259" spans="2:31">
      <c r="B259" s="128" t="s">
        <v>318</v>
      </c>
      <c r="C259" s="136">
        <f>C53</f>
        <v>35</v>
      </c>
      <c r="D259" t="s">
        <v>226</v>
      </c>
      <c r="P259"/>
      <c r="S259" s="179"/>
      <c r="T259" s="187"/>
      <c r="U259" s="14"/>
      <c r="V259" s="14"/>
      <c r="W259" s="14"/>
      <c r="AB259" s="179"/>
      <c r="AC259" s="14"/>
      <c r="AD259" s="14"/>
      <c r="AE259" s="187"/>
    </row>
    <row r="260" spans="2:31">
      <c r="B260" s="188" t="s">
        <v>328</v>
      </c>
      <c r="C260" s="1">
        <f>C259*0.5</f>
        <v>17.5</v>
      </c>
      <c r="D260" t="s">
        <v>329</v>
      </c>
      <c r="Y260"/>
    </row>
    <row r="261" spans="2:31">
      <c r="B261" t="s">
        <v>79</v>
      </c>
      <c r="C261" s="132">
        <v>7</v>
      </c>
      <c r="D261" t="s">
        <v>326</v>
      </c>
      <c r="J261" t="s">
        <v>324</v>
      </c>
      <c r="K261" s="3"/>
    </row>
    <row r="262" spans="2:31">
      <c r="B262" s="1" t="s">
        <v>78</v>
      </c>
      <c r="C262" s="132">
        <v>0.746</v>
      </c>
      <c r="D262" s="1" t="s">
        <v>80</v>
      </c>
      <c r="H262" t="s">
        <v>324</v>
      </c>
      <c r="K262" s="3"/>
    </row>
    <row r="263" spans="2:31">
      <c r="B263" t="s">
        <v>325</v>
      </c>
      <c r="C263" s="3">
        <f>C261*C262</f>
        <v>5.2219999999999995</v>
      </c>
      <c r="D263" t="s">
        <v>110</v>
      </c>
      <c r="K263" s="3"/>
    </row>
    <row r="264" spans="2:31">
      <c r="B264" t="s">
        <v>327</v>
      </c>
      <c r="C264" s="132">
        <f>C263</f>
        <v>5.2219999999999995</v>
      </c>
      <c r="D264" s="128" t="s">
        <v>330</v>
      </c>
      <c r="K264" s="3"/>
    </row>
    <row r="265" spans="2:31">
      <c r="B265" s="128" t="s">
        <v>345</v>
      </c>
      <c r="K265" s="3"/>
    </row>
    <row r="266" spans="2:31">
      <c r="B266" s="128"/>
      <c r="K266" s="3"/>
    </row>
    <row r="267" spans="2:31" ht="14.4" thickBot="1">
      <c r="B267" s="128"/>
      <c r="C267" s="100" t="s">
        <v>336</v>
      </c>
      <c r="D267" s="8"/>
      <c r="E267" s="100" t="s">
        <v>337</v>
      </c>
      <c r="F267" s="8"/>
      <c r="K267" s="3"/>
    </row>
    <row r="268" spans="2:31">
      <c r="B268" t="s">
        <v>331</v>
      </c>
      <c r="C268" s="3">
        <f>C263*(C55)*(C257)*COS(RADIANS(C260))</f>
        <v>0</v>
      </c>
      <c r="E268" s="3">
        <f>C264*(C55)*(C257)*COS(RADIANS(C260))</f>
        <v>0</v>
      </c>
      <c r="F268" t="s">
        <v>333</v>
      </c>
    </row>
    <row r="269" spans="2:31">
      <c r="B269" t="s">
        <v>332</v>
      </c>
      <c r="C269" s="3">
        <f>C263*(C55)*(C32+C256+C257)*COS(RADIANS(C260))</f>
        <v>8.9645578502530334</v>
      </c>
      <c r="E269" s="3">
        <f>C264*(C55)*(C32+C256+C257)*COS(RADIANS(C260))</f>
        <v>8.9645578502530334</v>
      </c>
      <c r="F269" t="s">
        <v>333</v>
      </c>
    </row>
    <row r="270" spans="2:31">
      <c r="B270" t="s">
        <v>335</v>
      </c>
      <c r="C270" s="3">
        <f>C263*(C55)*(C32+C257)*COS(RADIANS(C260))</f>
        <v>5.8269626026644712</v>
      </c>
      <c r="E270" s="3">
        <f>C264*(C55)*(C32+C257)*COS(RADIANS(C260))</f>
        <v>5.8269626026644712</v>
      </c>
      <c r="F270" t="s">
        <v>333</v>
      </c>
    </row>
    <row r="271" spans="2:31">
      <c r="G271"/>
    </row>
    <row r="272" spans="2:31" ht="15.6" thickBot="1">
      <c r="B272" s="8"/>
      <c r="C272" s="8"/>
      <c r="D272" s="8"/>
      <c r="E272" s="8"/>
      <c r="F272" s="10" t="s">
        <v>50</v>
      </c>
      <c r="G272" s="10" t="s">
        <v>23</v>
      </c>
      <c r="H272" s="189" t="s">
        <v>338</v>
      </c>
      <c r="I272" s="189" t="s">
        <v>339</v>
      </c>
      <c r="J272" s="189" t="s">
        <v>340</v>
      </c>
      <c r="K272" s="100" t="s">
        <v>341</v>
      </c>
      <c r="L272" s="10" t="s">
        <v>26</v>
      </c>
      <c r="M272" s="189" t="s">
        <v>319</v>
      </c>
      <c r="N272" s="172" t="s">
        <v>314</v>
      </c>
      <c r="O272" s="8"/>
    </row>
    <row r="273" spans="2:15">
      <c r="B273" t="s">
        <v>300</v>
      </c>
      <c r="F273" s="14">
        <f>VLOOKUP($B273,$B$174:$M$179,12,0)</f>
        <v>130.37945286040832</v>
      </c>
      <c r="G273" s="14">
        <f>TAN(RADIANS($C$53))</f>
        <v>0.70020753820970971</v>
      </c>
      <c r="H273" s="14">
        <f>+F273*G273</f>
        <v>91.292675720515405</v>
      </c>
      <c r="I273" s="14">
        <f>$C$39*($C$268+$C$270)*($C$256+$C$32)/2</f>
        <v>6.9923551231973651</v>
      </c>
      <c r="J273" s="14">
        <v>0.8</v>
      </c>
      <c r="K273" s="14">
        <v>0.5</v>
      </c>
      <c r="L273" s="14">
        <f>+J273*H273+I273*K273</f>
        <v>76.530318138011012</v>
      </c>
      <c r="M273" s="14">
        <f>+VLOOKUP($B273,$B$196:$M$201,12,0)</f>
        <v>33.762146337488467</v>
      </c>
      <c r="N273" s="175">
        <f t="shared" ref="N273:N278" si="28">+L273/M273</f>
        <v>2.2667491981407015</v>
      </c>
      <c r="O273" s="15" t="str">
        <f>+IF(N273&gt;1,"Ok","Fail")</f>
        <v>Ok</v>
      </c>
    </row>
    <row r="274" spans="2:15">
      <c r="B274" t="s">
        <v>301</v>
      </c>
      <c r="F274" s="14">
        <f>VLOOKUP($B274,$B$174:$M$179,12,0)</f>
        <v>102.20845161040832</v>
      </c>
      <c r="G274" s="14">
        <f t="shared" ref="G274:G278" si="29">TAN(RADIANS($C$53))</f>
        <v>0.70020753820970971</v>
      </c>
      <c r="H274" s="14">
        <f t="shared" ref="H274:H278" si="30">+F274*G274</f>
        <v>71.567128286350254</v>
      </c>
      <c r="I274" s="14">
        <f>$C$39*($C$268+$C$270)*($C$256+$C$32)/2</f>
        <v>6.9923551231973651</v>
      </c>
      <c r="J274" s="14">
        <v>0.8</v>
      </c>
      <c r="K274" s="14">
        <v>0.5</v>
      </c>
      <c r="L274" s="14">
        <f t="shared" ref="L274:L278" si="31">+J274*H274+I274*K274</f>
        <v>60.749880190678894</v>
      </c>
      <c r="M274" s="14">
        <f t="shared" ref="M274:M278" si="32">+VLOOKUP($B274,$B$196:$M$201,12,0)</f>
        <v>33.762146337488467</v>
      </c>
      <c r="N274" s="175">
        <f t="shared" si="28"/>
        <v>1.7993488797607651</v>
      </c>
      <c r="O274" s="15" t="str">
        <f t="shared" ref="O274:O278" si="33">+IF(N274&gt;1,"Ok","Fail")</f>
        <v>Ok</v>
      </c>
    </row>
    <row r="275" spans="2:15">
      <c r="B275" t="s">
        <v>302</v>
      </c>
      <c r="F275" s="14">
        <f t="shared" ref="F275:F278" si="34">VLOOKUP($B275,$B$174:$M$179,12,0)</f>
        <v>118.58585286040832</v>
      </c>
      <c r="G275" s="14">
        <f t="shared" si="29"/>
        <v>0.70020753820970971</v>
      </c>
      <c r="H275" s="14">
        <f t="shared" si="30"/>
        <v>83.034708097885371</v>
      </c>
      <c r="I275" s="14">
        <f>$C$39*($C$268+$C$270)*($C$256+$C$32)/2</f>
        <v>6.9923551231973651</v>
      </c>
      <c r="J275" s="14">
        <v>0.8</v>
      </c>
      <c r="K275" s="14">
        <v>0.5</v>
      </c>
      <c r="L275" s="14">
        <f t="shared" si="31"/>
        <v>69.923944039906985</v>
      </c>
      <c r="M275" s="14">
        <f t="shared" si="32"/>
        <v>27.501615890801865</v>
      </c>
      <c r="N275" s="175">
        <f t="shared" si="28"/>
        <v>2.5425394754092832</v>
      </c>
      <c r="O275" s="15" t="str">
        <f t="shared" si="33"/>
        <v>Ok</v>
      </c>
    </row>
    <row r="276" spans="2:15">
      <c r="B276" t="s">
        <v>303</v>
      </c>
      <c r="F276" s="14">
        <f t="shared" si="34"/>
        <v>90.41485161040832</v>
      </c>
      <c r="G276" s="14">
        <f t="shared" si="29"/>
        <v>0.70020753820970971</v>
      </c>
      <c r="H276" s="14">
        <f t="shared" si="30"/>
        <v>63.30916066372022</v>
      </c>
      <c r="I276" s="14">
        <f>$C$39*($C$268+$C$270)*($C$256+$C$32)/2</f>
        <v>6.9923551231973651</v>
      </c>
      <c r="J276" s="14">
        <v>0.8</v>
      </c>
      <c r="K276" s="14">
        <v>0.5</v>
      </c>
      <c r="L276" s="14">
        <f t="shared" si="31"/>
        <v>54.143506092574867</v>
      </c>
      <c r="M276" s="14">
        <f t="shared" si="32"/>
        <v>27.501615890801865</v>
      </c>
      <c r="N276" s="175">
        <f t="shared" si="28"/>
        <v>1.9687390845526134</v>
      </c>
      <c r="O276" s="15" t="str">
        <f t="shared" si="33"/>
        <v>Ok</v>
      </c>
    </row>
    <row r="277" spans="2:15">
      <c r="B277" t="s">
        <v>304</v>
      </c>
      <c r="F277" s="14">
        <f t="shared" si="34"/>
        <v>121.95545286040833</v>
      </c>
      <c r="G277" s="14">
        <f t="shared" si="29"/>
        <v>0.70020753820970971</v>
      </c>
      <c r="H277" s="14">
        <f t="shared" si="30"/>
        <v>85.394127418636813</v>
      </c>
      <c r="I277" s="186">
        <f>$C$39*($E$268+$E$270)*($C$256+$C$32)/2</f>
        <v>6.9923551231973651</v>
      </c>
      <c r="J277" s="14">
        <v>1</v>
      </c>
      <c r="K277" s="186">
        <v>0.9</v>
      </c>
      <c r="L277" s="14">
        <f t="shared" si="31"/>
        <v>91.687247029514438</v>
      </c>
      <c r="M277" s="14">
        <f t="shared" si="32"/>
        <v>61.984364131793917</v>
      </c>
      <c r="N277" s="175">
        <f t="shared" si="28"/>
        <v>1.4791996064453437</v>
      </c>
      <c r="O277" s="15" t="str">
        <f t="shared" si="33"/>
        <v>Ok</v>
      </c>
    </row>
    <row r="278" spans="2:15">
      <c r="B278" t="s">
        <v>305</v>
      </c>
      <c r="F278" s="14">
        <f t="shared" si="34"/>
        <v>91.766867740272218</v>
      </c>
      <c r="G278" s="14">
        <f t="shared" si="29"/>
        <v>0.70020753820970971</v>
      </c>
      <c r="H278" s="14">
        <f t="shared" si="30"/>
        <v>64.255852549632039</v>
      </c>
      <c r="I278" s="186">
        <f>$C$39*($E$268+$E$270)*($C$256+$C$32)/2</f>
        <v>6.9923551231973651</v>
      </c>
      <c r="J278" s="14">
        <v>1</v>
      </c>
      <c r="K278" s="186">
        <v>0.9</v>
      </c>
      <c r="L278" s="14">
        <f t="shared" si="31"/>
        <v>70.548972160509663</v>
      </c>
      <c r="M278" s="14">
        <f t="shared" si="32"/>
        <v>52.81715883485996</v>
      </c>
      <c r="N278" s="175">
        <f t="shared" si="28"/>
        <v>1.3357206960164334</v>
      </c>
      <c r="O278" s="15" t="str">
        <f t="shared" si="33"/>
        <v>Ok</v>
      </c>
    </row>
    <row r="279" spans="2:15">
      <c r="K279" s="160"/>
      <c r="L279" s="161"/>
      <c r="M279" s="161"/>
    </row>
    <row r="280" spans="2:15">
      <c r="B280" t="s">
        <v>339</v>
      </c>
      <c r="C280" t="s">
        <v>343</v>
      </c>
      <c r="I280" s="181"/>
    </row>
    <row r="281" spans="2:15">
      <c r="B281" t="s">
        <v>341</v>
      </c>
      <c r="C281" t="s">
        <v>344</v>
      </c>
    </row>
    <row r="282" spans="2:15">
      <c r="B282" s="95"/>
    </row>
    <row r="283" spans="2:15">
      <c r="B283" s="95" t="s">
        <v>355</v>
      </c>
      <c r="J283" s="162"/>
      <c r="K283" s="162"/>
      <c r="M283" s="13"/>
    </row>
    <row r="284" spans="2:15">
      <c r="B284" s="95"/>
      <c r="J284" s="162"/>
      <c r="K284" s="162"/>
      <c r="M284" s="13"/>
    </row>
    <row r="285" spans="2:15">
      <c r="B285" s="95"/>
      <c r="D285" s="95" t="s">
        <v>349</v>
      </c>
      <c r="E285" s="95"/>
      <c r="F285" s="95"/>
      <c r="G285" s="95"/>
      <c r="H285" s="95"/>
      <c r="I285" s="95"/>
      <c r="J285" s="95" t="s">
        <v>350</v>
      </c>
      <c r="K285" s="191"/>
      <c r="M285" s="13"/>
    </row>
    <row r="286" spans="2:15">
      <c r="B286" s="95"/>
      <c r="J286" s="162"/>
      <c r="K286" s="162"/>
      <c r="M286" s="13"/>
    </row>
    <row r="287" spans="2:15">
      <c r="B287" s="95"/>
      <c r="J287" s="162"/>
      <c r="K287" s="162"/>
      <c r="M287" s="13"/>
    </row>
    <row r="288" spans="2:15">
      <c r="B288" s="95"/>
      <c r="J288" s="162"/>
      <c r="K288" s="162"/>
      <c r="M288" s="13"/>
    </row>
    <row r="289" spans="1:19">
      <c r="B289" s="95"/>
      <c r="J289" s="162"/>
      <c r="K289" s="162"/>
      <c r="M289" s="13"/>
    </row>
    <row r="290" spans="1:19">
      <c r="B290" s="95"/>
      <c r="J290" s="162"/>
      <c r="K290" s="162"/>
      <c r="M290" s="13"/>
    </row>
    <row r="291" spans="1:19">
      <c r="B291" s="95"/>
      <c r="J291" s="162"/>
      <c r="K291" s="162"/>
      <c r="M291" s="13"/>
    </row>
    <row r="292" spans="1:19">
      <c r="B292" s="95"/>
      <c r="J292" s="162"/>
      <c r="K292" s="162"/>
      <c r="M292" s="13"/>
    </row>
    <row r="293" spans="1:19">
      <c r="B293" s="95"/>
      <c r="J293" s="162"/>
      <c r="K293" s="162"/>
      <c r="M293" s="13"/>
    </row>
    <row r="294" spans="1:19">
      <c r="B294" s="95"/>
      <c r="J294" s="162"/>
      <c r="K294" s="162"/>
      <c r="M294" s="13"/>
    </row>
    <row r="295" spans="1:19">
      <c r="B295" s="95"/>
      <c r="J295" s="162"/>
      <c r="K295" s="162"/>
      <c r="M295" s="13"/>
    </row>
    <row r="296" spans="1:19">
      <c r="B296" s="95"/>
      <c r="J296" s="162"/>
      <c r="K296" s="162"/>
      <c r="M296" s="13"/>
    </row>
    <row r="297" spans="1:19">
      <c r="B297" s="95"/>
      <c r="J297" s="162"/>
      <c r="K297" s="162"/>
      <c r="M297" s="13"/>
    </row>
    <row r="298" spans="1:19">
      <c r="B298" t="s">
        <v>360</v>
      </c>
      <c r="J298" s="162"/>
      <c r="K298" s="162"/>
      <c r="M298" s="13"/>
    </row>
    <row r="299" spans="1:19">
      <c r="B299" t="s">
        <v>361</v>
      </c>
      <c r="E299" s="14"/>
      <c r="F299" s="15"/>
      <c r="J299" s="162"/>
      <c r="K299" s="162"/>
      <c r="M299" s="13"/>
    </row>
    <row r="300" spans="1:19">
      <c r="B300" t="s">
        <v>362</v>
      </c>
      <c r="J300" s="162"/>
      <c r="K300" s="162"/>
      <c r="M300" s="13"/>
      <c r="S300"/>
    </row>
    <row r="301" spans="1:19">
      <c r="J301" s="162"/>
      <c r="K301" s="162"/>
      <c r="M301" s="15"/>
    </row>
    <row r="302" spans="1:19" ht="15">
      <c r="K302" s="192" t="s">
        <v>353</v>
      </c>
      <c r="L302" s="192" t="s">
        <v>354</v>
      </c>
      <c r="M302" s="97" t="s">
        <v>119</v>
      </c>
      <c r="N302" s="13"/>
      <c r="O302" s="13"/>
    </row>
    <row r="303" spans="1:19" ht="16.8" thickBot="1">
      <c r="B303" s="8"/>
      <c r="C303" s="8"/>
      <c r="D303" s="8"/>
      <c r="E303" s="172" t="s">
        <v>351</v>
      </c>
      <c r="F303" s="172" t="s">
        <v>352</v>
      </c>
      <c r="G303" s="100" t="s">
        <v>356</v>
      </c>
      <c r="H303" s="197" t="s">
        <v>358</v>
      </c>
      <c r="I303" s="197" t="s">
        <v>357</v>
      </c>
      <c r="J303" s="189" t="s">
        <v>359</v>
      </c>
      <c r="K303" s="10" t="s">
        <v>74</v>
      </c>
      <c r="L303" s="10" t="s">
        <v>74</v>
      </c>
      <c r="M303" s="10" t="s">
        <v>74</v>
      </c>
      <c r="N303" s="172" t="s">
        <v>314</v>
      </c>
      <c r="O303" s="12"/>
    </row>
    <row r="304" spans="1:19">
      <c r="A304" s="1">
        <v>1</v>
      </c>
      <c r="B304" t="s">
        <v>300</v>
      </c>
      <c r="E304" s="14">
        <f>K224</f>
        <v>2.9233748116781033E-2</v>
      </c>
      <c r="F304" s="15">
        <f>IF($C$37/6&gt;E304,1,2)</f>
        <v>1</v>
      </c>
      <c r="G304" s="14" t="str">
        <f>IF(F304=1,"-",$C$37-2*E304)</f>
        <v>-</v>
      </c>
      <c r="H304" s="14">
        <f t="shared" ref="H304:H309" si="35">VLOOKUP($B304,$B$174:$M$179,12,0)/($C$37*$C$39)</f>
        <v>14.682370817613549</v>
      </c>
      <c r="I304" s="14">
        <f t="shared" ref="I304:I309" si="36">6*VLOOKUP($B304,$B$174:$M$179,12,0)*E304/((($C$37)^2)*$C$39)</f>
        <v>0.69603361660425556</v>
      </c>
      <c r="J304" s="14" t="str">
        <f t="shared" ref="J304:J309" si="37">IF(F304=1,"-",VLOOKUP($B304,$B$174:$M$179,12,0)/(G304*$C$39))</f>
        <v>-</v>
      </c>
      <c r="K304" s="14">
        <f>IF(F304=1,+(H304+I304)/10,J304/10)</f>
        <v>1.5378404434217805</v>
      </c>
      <c r="L304" s="14">
        <f>IF(F304=1,+(H304-I304)/10,J304/10)</f>
        <v>1.3986337201009293</v>
      </c>
      <c r="M304" s="14">
        <f>0.45*$C$59</f>
        <v>3.375</v>
      </c>
      <c r="N304" s="193">
        <f>M304/MAX((ABS(K304)),(ABS(L304)))</f>
        <v>2.1946360003970486</v>
      </c>
      <c r="O304" s="17" t="str">
        <f>+IF(N304&gt;1,"Ok","Fail")</f>
        <v>Ok</v>
      </c>
    </row>
    <row r="305" spans="1:18">
      <c r="A305" s="1">
        <v>2</v>
      </c>
      <c r="B305" t="s">
        <v>301</v>
      </c>
      <c r="E305" s="14">
        <f t="shared" ref="E305:E309" si="38">K225</f>
        <v>0.14653175528369489</v>
      </c>
      <c r="F305" s="15">
        <f t="shared" ref="F305:F309" si="39">IF($C$37/6&gt;E305,1,2)</f>
        <v>1</v>
      </c>
      <c r="G305" s="14" t="str">
        <f t="shared" ref="G305:G309" si="40">IF(F305=1,"-",$C$37-2*E305)</f>
        <v>-</v>
      </c>
      <c r="H305" s="14">
        <f t="shared" si="35"/>
        <v>11.509960766937873</v>
      </c>
      <c r="I305" s="14">
        <f t="shared" si="36"/>
        <v>2.7349860882581667</v>
      </c>
      <c r="J305" s="14" t="str">
        <f t="shared" si="37"/>
        <v>-</v>
      </c>
      <c r="K305" s="14">
        <f t="shared" ref="K305:K309" si="41">IF(F305=1,+(H305+I305)/10,J305/10)</f>
        <v>1.4244946855196039</v>
      </c>
      <c r="L305" s="14">
        <f t="shared" ref="L305:L309" si="42">IF(F305=1,+(H305-I305)/10,J305/10)</f>
        <v>0.87749746786797067</v>
      </c>
      <c r="M305" s="14">
        <f t="shared" ref="M305:M307" si="43">0.45*$C$59</f>
        <v>3.375</v>
      </c>
      <c r="N305" s="193">
        <f t="shared" ref="N305:N309" si="44">M305/MAX((ABS(K305)),(ABS(L305)))</f>
        <v>2.3692612084185645</v>
      </c>
      <c r="O305" s="17" t="str">
        <f t="shared" ref="O305:O308" si="45">+IF(N305&gt;1,"Ok","Fail")</f>
        <v>Ok</v>
      </c>
    </row>
    <row r="306" spans="1:18">
      <c r="A306" s="1">
        <v>3</v>
      </c>
      <c r="B306" t="s">
        <v>302</v>
      </c>
      <c r="E306" s="14">
        <f t="shared" si="38"/>
        <v>-7.5499486853423559E-2</v>
      </c>
      <c r="F306" s="15">
        <f t="shared" si="39"/>
        <v>1</v>
      </c>
      <c r="G306" s="14" t="str">
        <f t="shared" si="40"/>
        <v>-</v>
      </c>
      <c r="H306" s="14">
        <f t="shared" si="35"/>
        <v>13.354262709505441</v>
      </c>
      <c r="I306" s="14">
        <f t="shared" si="36"/>
        <v>-1.6349837543894119</v>
      </c>
      <c r="J306" s="14" t="str">
        <f t="shared" si="37"/>
        <v>-</v>
      </c>
      <c r="K306" s="14">
        <f t="shared" si="41"/>
        <v>1.171927895511603</v>
      </c>
      <c r="L306" s="14">
        <f t="shared" si="42"/>
        <v>1.4989246463894852</v>
      </c>
      <c r="M306" s="14">
        <f t="shared" si="43"/>
        <v>3.375</v>
      </c>
      <c r="N306" s="193">
        <f t="shared" si="44"/>
        <v>2.25161418763077</v>
      </c>
      <c r="O306" s="17" t="str">
        <f t="shared" si="45"/>
        <v>Ok</v>
      </c>
    </row>
    <row r="307" spans="1:18">
      <c r="A307" s="1">
        <v>4</v>
      </c>
      <c r="B307" t="s">
        <v>303</v>
      </c>
      <c r="E307" s="14">
        <f t="shared" si="38"/>
        <v>2.4466474880391775E-2</v>
      </c>
      <c r="F307" s="15">
        <f t="shared" si="39"/>
        <v>1</v>
      </c>
      <c r="G307" s="14" t="str">
        <f t="shared" si="40"/>
        <v>-</v>
      </c>
      <c r="H307" s="14">
        <f t="shared" si="35"/>
        <v>10.181852658829765</v>
      </c>
      <c r="I307" s="14">
        <f t="shared" si="36"/>
        <v>0.40396871726450051</v>
      </c>
      <c r="J307" s="14" t="str">
        <f t="shared" si="37"/>
        <v>-</v>
      </c>
      <c r="K307" s="14">
        <f t="shared" si="41"/>
        <v>1.0585821376094267</v>
      </c>
      <c r="L307" s="14">
        <f t="shared" si="42"/>
        <v>0.97778839415652641</v>
      </c>
      <c r="M307" s="14">
        <f t="shared" si="43"/>
        <v>3.375</v>
      </c>
      <c r="N307" s="193">
        <f t="shared" si="44"/>
        <v>3.1882268556143316</v>
      </c>
      <c r="O307" s="17" t="str">
        <f t="shared" si="45"/>
        <v>Ok</v>
      </c>
    </row>
    <row r="308" spans="1:18">
      <c r="A308" s="1">
        <v>5</v>
      </c>
      <c r="B308" t="s">
        <v>304</v>
      </c>
      <c r="E308" s="14">
        <f t="shared" si="38"/>
        <v>0.90264882163034099</v>
      </c>
      <c r="F308" s="15">
        <f t="shared" si="39"/>
        <v>2</v>
      </c>
      <c r="G308" s="14">
        <f>IF(F308=1,"-",$C$37-2*E308)</f>
        <v>1.8947023567393182</v>
      </c>
      <c r="H308" s="14">
        <f t="shared" si="35"/>
        <v>13.733722168964901</v>
      </c>
      <c r="I308" s="14">
        <f t="shared" si="36"/>
        <v>20.102802376888636</v>
      </c>
      <c r="J308" s="14">
        <f t="shared" si="37"/>
        <v>26.819395587082951</v>
      </c>
      <c r="K308" s="14">
        <f t="shared" si="41"/>
        <v>2.681939558708295</v>
      </c>
      <c r="L308" s="14">
        <f t="shared" si="42"/>
        <v>2.681939558708295</v>
      </c>
      <c r="M308" s="14">
        <f>1*$C$59</f>
        <v>7.5</v>
      </c>
      <c r="N308" s="193">
        <f t="shared" si="44"/>
        <v>2.7964836029385509</v>
      </c>
      <c r="O308" s="17" t="str">
        <f t="shared" si="45"/>
        <v>Ok</v>
      </c>
    </row>
    <row r="309" spans="1:18">
      <c r="A309" s="1">
        <v>6</v>
      </c>
      <c r="B309" t="s">
        <v>305</v>
      </c>
      <c r="E309" s="14">
        <f t="shared" si="38"/>
        <v>1.1996672862447815</v>
      </c>
      <c r="F309" s="15">
        <f t="shared" si="39"/>
        <v>2</v>
      </c>
      <c r="G309" s="14">
        <f t="shared" si="40"/>
        <v>1.3006654275104372</v>
      </c>
      <c r="H309" s="14">
        <f t="shared" si="35"/>
        <v>10.334106727508132</v>
      </c>
      <c r="I309" s="14">
        <f t="shared" si="36"/>
        <v>20.104037470627492</v>
      </c>
      <c r="J309" s="14">
        <f t="shared" si="37"/>
        <v>29.39741003569749</v>
      </c>
      <c r="K309" s="14">
        <f t="shared" si="41"/>
        <v>2.9397410035697491</v>
      </c>
      <c r="L309" s="14">
        <f t="shared" si="42"/>
        <v>2.9397410035697491</v>
      </c>
      <c r="M309" s="14">
        <f>1*$C$59</f>
        <v>7.5</v>
      </c>
      <c r="N309" s="193">
        <f t="shared" si="44"/>
        <v>2.551245157615142</v>
      </c>
      <c r="O309" s="17" t="str">
        <f>+IF(N309&gt;1,"Ok","Fail")</f>
        <v>Ok</v>
      </c>
    </row>
    <row r="310" spans="1:18">
      <c r="B310"/>
      <c r="E310" s="14"/>
      <c r="F310" s="15"/>
      <c r="G310" s="14"/>
      <c r="H310" s="14"/>
      <c r="I310" s="14"/>
      <c r="J310" s="14"/>
      <c r="K310" s="14"/>
      <c r="L310" s="14"/>
      <c r="M310" s="14"/>
      <c r="N310" s="159"/>
      <c r="O310" s="159"/>
    </row>
    <row r="311" spans="1:18">
      <c r="C311" s="3"/>
      <c r="D311" s="3"/>
      <c r="J311" s="2"/>
    </row>
    <row r="312" spans="1:18" ht="25.2">
      <c r="A312" s="196" t="s">
        <v>363</v>
      </c>
      <c r="C312" s="3"/>
      <c r="D312" s="3"/>
    </row>
    <row r="313" spans="1:18" ht="14.4" thickBot="1">
      <c r="D313" s="3"/>
      <c r="H313" s="9"/>
      <c r="I313" s="8"/>
      <c r="J313" s="201"/>
      <c r="K313" s="8"/>
      <c r="L313" s="8"/>
      <c r="M313" s="8"/>
    </row>
    <row r="314" spans="1:18">
      <c r="A314" s="190"/>
      <c r="B314" s="11"/>
      <c r="C314" s="11"/>
      <c r="D314" s="11"/>
      <c r="E314" s="11"/>
      <c r="F314" s="11"/>
      <c r="G314" s="194"/>
      <c r="H314" s="3"/>
      <c r="J314" s="2"/>
      <c r="N314" s="11"/>
      <c r="O314" s="11"/>
      <c r="P314" s="11"/>
      <c r="Q314" s="11"/>
      <c r="R314" s="91"/>
    </row>
    <row r="315" spans="1:18">
      <c r="A315" s="94"/>
      <c r="M315"/>
      <c r="R315" s="92"/>
    </row>
    <row r="316" spans="1:18" ht="14.4" thickBot="1">
      <c r="A316" s="94"/>
      <c r="B316" s="171" t="s">
        <v>284</v>
      </c>
      <c r="O316" t="s">
        <v>365</v>
      </c>
      <c r="R316" s="92"/>
    </row>
    <row r="317" spans="1:18">
      <c r="A317" s="249" t="s">
        <v>278</v>
      </c>
      <c r="B317">
        <v>1</v>
      </c>
      <c r="C317" s="1">
        <v>0</v>
      </c>
      <c r="D317" s="1">
        <v>0</v>
      </c>
      <c r="R317" s="92"/>
    </row>
    <row r="318" spans="1:18">
      <c r="A318" s="250"/>
      <c r="B318">
        <v>2</v>
      </c>
      <c r="C318" s="1">
        <v>0</v>
      </c>
      <c r="D318" s="3">
        <f>C32</f>
        <v>0.65</v>
      </c>
      <c r="O318" s="1">
        <v>1</v>
      </c>
      <c r="P318" s="1">
        <v>0</v>
      </c>
      <c r="Q318" s="3">
        <f>C32</f>
        <v>0.65</v>
      </c>
      <c r="R318" s="92"/>
    </row>
    <row r="319" spans="1:18">
      <c r="A319" s="250"/>
      <c r="B319">
        <v>3</v>
      </c>
      <c r="C319" s="3">
        <f>C34</f>
        <v>1</v>
      </c>
      <c r="D319" s="3">
        <f>C32</f>
        <v>0.65</v>
      </c>
      <c r="O319" s="1">
        <v>2</v>
      </c>
      <c r="P319">
        <v>0</v>
      </c>
      <c r="Q319" s="1">
        <v>0</v>
      </c>
      <c r="R319" s="92"/>
    </row>
    <row r="320" spans="1:18">
      <c r="A320" s="250"/>
      <c r="B320">
        <v>4</v>
      </c>
      <c r="C320" s="3">
        <f>C319</f>
        <v>1</v>
      </c>
      <c r="D320" s="3">
        <f>C29+C32</f>
        <v>6.15</v>
      </c>
      <c r="O320" s="1">
        <v>3</v>
      </c>
      <c r="P320" s="3">
        <f>C39</f>
        <v>2.4</v>
      </c>
      <c r="Q320" s="1">
        <v>0</v>
      </c>
      <c r="R320" s="92"/>
    </row>
    <row r="321" spans="1:18">
      <c r="A321" s="250"/>
      <c r="B321">
        <v>5</v>
      </c>
      <c r="C321" s="3">
        <f>C320+C35</f>
        <v>1.1000000000000001</v>
      </c>
      <c r="D321" s="3">
        <f>D320</f>
        <v>6.15</v>
      </c>
      <c r="O321">
        <v>4</v>
      </c>
      <c r="P321" s="3">
        <f>P320</f>
        <v>2.4</v>
      </c>
      <c r="Q321" s="3">
        <f>Q318</f>
        <v>0.65</v>
      </c>
      <c r="R321" s="92"/>
    </row>
    <row r="322" spans="1:18">
      <c r="A322" s="250"/>
      <c r="B322">
        <v>6</v>
      </c>
      <c r="C322" s="3">
        <f>C321</f>
        <v>1.1000000000000001</v>
      </c>
      <c r="D322" s="3">
        <f>C32</f>
        <v>0.65</v>
      </c>
      <c r="O322">
        <v>5</v>
      </c>
      <c r="P322" s="1">
        <f>P318</f>
        <v>0</v>
      </c>
      <c r="Q322" s="1">
        <f>Q318</f>
        <v>0.65</v>
      </c>
      <c r="R322" s="92"/>
    </row>
    <row r="323" spans="1:18">
      <c r="A323" s="250"/>
      <c r="B323">
        <v>7</v>
      </c>
      <c r="C323" s="3">
        <f>C37</f>
        <v>3.7</v>
      </c>
      <c r="D323" s="3">
        <f>C32</f>
        <v>0.65</v>
      </c>
      <c r="O323">
        <v>6</v>
      </c>
      <c r="P323" s="1">
        <f>P322</f>
        <v>0</v>
      </c>
      <c r="Q323" s="1">
        <f>Q322</f>
        <v>0.65</v>
      </c>
      <c r="R323" s="92"/>
    </row>
    <row r="324" spans="1:18">
      <c r="A324" s="250"/>
      <c r="B324">
        <v>8</v>
      </c>
      <c r="C324" s="3">
        <f>C323</f>
        <v>3.7</v>
      </c>
      <c r="D324" s="1">
        <v>0</v>
      </c>
      <c r="O324">
        <v>7</v>
      </c>
      <c r="P324" s="3">
        <f>P321</f>
        <v>2.4</v>
      </c>
      <c r="Q324" s="3">
        <f>Q321</f>
        <v>0.65</v>
      </c>
      <c r="R324" s="92"/>
    </row>
    <row r="325" spans="1:18">
      <c r="A325" s="250"/>
      <c r="B325">
        <v>9</v>
      </c>
      <c r="C325" s="1">
        <v>0</v>
      </c>
      <c r="D325" s="1">
        <v>0</v>
      </c>
      <c r="O325">
        <v>8</v>
      </c>
      <c r="P325" s="3">
        <f>P324</f>
        <v>2.4</v>
      </c>
      <c r="Q325" s="3">
        <f>C32+C29</f>
        <v>6.15</v>
      </c>
      <c r="R325" s="92"/>
    </row>
    <row r="326" spans="1:18">
      <c r="A326" s="243" t="s">
        <v>279</v>
      </c>
      <c r="B326">
        <v>10</v>
      </c>
      <c r="C326" s="3">
        <f>C322</f>
        <v>1.1000000000000001</v>
      </c>
      <c r="D326" s="3">
        <f>C32</f>
        <v>0.65</v>
      </c>
      <c r="O326">
        <v>9</v>
      </c>
      <c r="P326" s="1">
        <v>0</v>
      </c>
      <c r="Q326" s="3">
        <f>Q325</f>
        <v>6.15</v>
      </c>
      <c r="R326" s="92"/>
    </row>
    <row r="327" spans="1:18">
      <c r="A327" s="244"/>
      <c r="B327">
        <v>11</v>
      </c>
      <c r="C327" s="3">
        <f>C326</f>
        <v>1.1000000000000001</v>
      </c>
      <c r="D327" s="3">
        <f>C32+C43+C44</f>
        <v>5.15</v>
      </c>
      <c r="O327">
        <v>10</v>
      </c>
      <c r="P327" s="1">
        <f>P323</f>
        <v>0</v>
      </c>
      <c r="Q327" s="1">
        <f>Q322</f>
        <v>0.65</v>
      </c>
      <c r="R327" s="92"/>
    </row>
    <row r="328" spans="1:18">
      <c r="A328" s="244"/>
      <c r="B328">
        <v>12</v>
      </c>
      <c r="C328" s="3">
        <f>C327+C41</f>
        <v>1.4300000000000002</v>
      </c>
      <c r="D328" s="3">
        <f>D327</f>
        <v>5.15</v>
      </c>
      <c r="O328">
        <v>11</v>
      </c>
      <c r="P328" s="1">
        <f>C39/(C38+1)-C48/2</f>
        <v>0.74999999999999989</v>
      </c>
      <c r="Q328" s="3">
        <f>C32</f>
        <v>0.65</v>
      </c>
      <c r="R328" s="92"/>
    </row>
    <row r="329" spans="1:18">
      <c r="A329" s="244"/>
      <c r="B329">
        <v>13</v>
      </c>
      <c r="C329" s="3">
        <f>C327+C47</f>
        <v>1.6190000000000002</v>
      </c>
      <c r="D329" s="3">
        <f>C44+C32</f>
        <v>3.65</v>
      </c>
      <c r="O329">
        <v>12</v>
      </c>
      <c r="P329" s="3">
        <f>P328+C48</f>
        <v>0.84999999999999987</v>
      </c>
      <c r="Q329" s="3">
        <f>Q328</f>
        <v>0.65</v>
      </c>
      <c r="R329" s="92"/>
    </row>
    <row r="330" spans="1:18">
      <c r="A330" s="244"/>
      <c r="B330">
        <v>14</v>
      </c>
      <c r="C330" s="3">
        <f>C326+C42</f>
        <v>2.34</v>
      </c>
      <c r="D330" s="3">
        <f>C32</f>
        <v>0.65</v>
      </c>
      <c r="O330">
        <v>13</v>
      </c>
      <c r="P330" s="3">
        <f>P329</f>
        <v>0.84999999999999987</v>
      </c>
      <c r="Q330" s="3">
        <f>C43+C44+C32</f>
        <v>5.15</v>
      </c>
      <c r="R330" s="92"/>
    </row>
    <row r="331" spans="1:18">
      <c r="A331" s="244"/>
      <c r="B331">
        <v>15</v>
      </c>
      <c r="C331" s="3">
        <f>C326</f>
        <v>1.1000000000000001</v>
      </c>
      <c r="D331" s="3">
        <f>D326</f>
        <v>0.65</v>
      </c>
      <c r="O331">
        <v>14</v>
      </c>
      <c r="P331" s="1">
        <f>P328</f>
        <v>0.74999999999999989</v>
      </c>
      <c r="Q331" s="3">
        <f>Q330</f>
        <v>5.15</v>
      </c>
      <c r="R331" s="92"/>
    </row>
    <row r="332" spans="1:18">
      <c r="A332" s="245" t="s">
        <v>280</v>
      </c>
      <c r="B332">
        <v>16</v>
      </c>
      <c r="C332" s="3">
        <f>C331</f>
        <v>1.1000000000000001</v>
      </c>
      <c r="D332" s="3">
        <f>C32+C31</f>
        <v>6.15</v>
      </c>
      <c r="O332">
        <v>15</v>
      </c>
      <c r="P332" s="1">
        <f>P328</f>
        <v>0.74999999999999989</v>
      </c>
      <c r="Q332" s="3">
        <f>Q328</f>
        <v>0.65</v>
      </c>
      <c r="R332" s="92"/>
    </row>
    <row r="333" spans="1:18">
      <c r="A333" s="246"/>
      <c r="B333">
        <v>17</v>
      </c>
      <c r="C333" s="3">
        <f>C322+C36</f>
        <v>3.7</v>
      </c>
      <c r="D333" s="3">
        <f>D332</f>
        <v>6.15</v>
      </c>
      <c r="O333">
        <v>16</v>
      </c>
      <c r="P333" s="1">
        <f>(C39/(C38+1))*C38-C48/2</f>
        <v>1.5499999999999998</v>
      </c>
      <c r="Q333" s="3">
        <f>Q328</f>
        <v>0.65</v>
      </c>
      <c r="R333" s="92"/>
    </row>
    <row r="334" spans="1:18">
      <c r="A334" s="246"/>
      <c r="B334">
        <v>18</v>
      </c>
      <c r="C334" s="3">
        <f>C37</f>
        <v>3.7</v>
      </c>
      <c r="D334" s="3">
        <f>C32</f>
        <v>0.65</v>
      </c>
      <c r="O334">
        <v>17</v>
      </c>
      <c r="P334" s="3">
        <f>(C39/(C38+1))*C38+C48/2</f>
        <v>1.65</v>
      </c>
      <c r="Q334" s="3">
        <f>Q329</f>
        <v>0.65</v>
      </c>
      <c r="R334" s="92"/>
    </row>
    <row r="335" spans="1:18">
      <c r="A335" s="94"/>
      <c r="O335">
        <v>18</v>
      </c>
      <c r="P335" s="3">
        <f>P334</f>
        <v>1.65</v>
      </c>
      <c r="Q335" s="3">
        <f>Q330</f>
        <v>5.15</v>
      </c>
      <c r="R335" s="92"/>
    </row>
    <row r="336" spans="1:18">
      <c r="A336" s="94"/>
      <c r="O336">
        <v>19</v>
      </c>
      <c r="P336" s="1">
        <f>P333</f>
        <v>1.5499999999999998</v>
      </c>
      <c r="Q336" s="3">
        <f>Q331</f>
        <v>5.15</v>
      </c>
      <c r="R336" s="92"/>
    </row>
    <row r="337" spans="1:18">
      <c r="A337" s="195" t="s">
        <v>290</v>
      </c>
      <c r="O337">
        <v>20</v>
      </c>
      <c r="P337" s="1">
        <f>P333</f>
        <v>1.5499999999999998</v>
      </c>
      <c r="Q337" s="3">
        <f>Q332</f>
        <v>0.65</v>
      </c>
      <c r="R337" s="92"/>
    </row>
    <row r="338" spans="1:18">
      <c r="A338" s="94"/>
      <c r="E338" t="s">
        <v>289</v>
      </c>
      <c r="R338" s="92"/>
    </row>
    <row r="339" spans="1:18" ht="14.4" thickBot="1">
      <c r="A339" s="93" t="s">
        <v>285</v>
      </c>
      <c r="D339" s="1">
        <f>C32*C37*C39</f>
        <v>5.7720000000000002</v>
      </c>
      <c r="E339" s="1">
        <f>C37/2</f>
        <v>1.85</v>
      </c>
      <c r="F339" s="1">
        <f>D339*E339</f>
        <v>10.6782</v>
      </c>
      <c r="M339" s="8"/>
      <c r="N339" s="8"/>
      <c r="O339" s="8"/>
      <c r="P339" s="8"/>
      <c r="Q339" s="8"/>
      <c r="R339" s="99"/>
    </row>
    <row r="340" spans="1:18">
      <c r="A340" s="93" t="s">
        <v>286</v>
      </c>
      <c r="D340" s="3">
        <f>C29*C35*C39</f>
        <v>1.32</v>
      </c>
      <c r="E340" s="1">
        <f>C34+C35/2</f>
        <v>1.05</v>
      </c>
      <c r="F340" s="1">
        <f t="shared" ref="F340:F341" si="46">D340*E340</f>
        <v>1.3860000000000001</v>
      </c>
    </row>
    <row r="341" spans="1:18">
      <c r="A341" s="93" t="s">
        <v>287</v>
      </c>
      <c r="D341" s="2">
        <f>((C41+C47)*C43/2+(C47+C42)*C44/2)*C48*C38</f>
        <v>0.65505000000000002</v>
      </c>
      <c r="E341" s="2">
        <f>E351+C34+C35</f>
        <v>1.5160425158384858</v>
      </c>
      <c r="F341" s="1">
        <f t="shared" si="46"/>
        <v>0.99308365000000021</v>
      </c>
      <c r="L341" s="92"/>
    </row>
    <row r="342" spans="1:18">
      <c r="A342" s="94"/>
      <c r="D342" s="1">
        <f>SUM(D339:D341)</f>
        <v>7.7470500000000007</v>
      </c>
      <c r="F342" s="3">
        <f>SUM(F339:F341)</f>
        <v>13.05728365</v>
      </c>
      <c r="G342" s="131">
        <f>F342/D342</f>
        <v>1.6854523528310776</v>
      </c>
      <c r="H342" t="s">
        <v>293</v>
      </c>
      <c r="L342" s="92"/>
    </row>
    <row r="343" spans="1:18">
      <c r="A343" s="94"/>
      <c r="L343" s="92"/>
    </row>
    <row r="344" spans="1:18">
      <c r="A344" s="94"/>
      <c r="L344" s="92"/>
    </row>
    <row r="345" spans="1:18">
      <c r="A345" s="195" t="s">
        <v>347</v>
      </c>
      <c r="L345" s="92"/>
    </row>
    <row r="346" spans="1:18">
      <c r="A346" s="94"/>
      <c r="B346" t="s">
        <v>291</v>
      </c>
      <c r="C346" t="s">
        <v>288</v>
      </c>
      <c r="L346" s="92"/>
    </row>
    <row r="347" spans="1:18">
      <c r="A347" s="94">
        <v>1</v>
      </c>
      <c r="B347" s="1">
        <f>C47*C44</f>
        <v>1.5569999999999999</v>
      </c>
      <c r="C347" s="1">
        <f>C47/2</f>
        <v>0.25950000000000001</v>
      </c>
      <c r="D347" s="1">
        <f>B347*C347</f>
        <v>0.4040415</v>
      </c>
      <c r="L347" s="92"/>
    </row>
    <row r="348" spans="1:18">
      <c r="A348" s="94">
        <v>2</v>
      </c>
      <c r="B348" s="1">
        <f>C41*C43</f>
        <v>0.495</v>
      </c>
      <c r="C348" s="1">
        <f>C41/2</f>
        <v>0.16500000000000001</v>
      </c>
      <c r="D348" s="1">
        <f t="shared" ref="D348:D350" si="47">B348*C348</f>
        <v>8.1674999999999998E-2</v>
      </c>
      <c r="L348" s="92"/>
    </row>
    <row r="349" spans="1:18">
      <c r="A349" s="94">
        <v>3</v>
      </c>
      <c r="B349" s="1">
        <f>C43*(C47-C41)/2</f>
        <v>0.14174999999999999</v>
      </c>
      <c r="C349" s="2">
        <f>(C47-C41)/3+C41</f>
        <v>0.39300000000000002</v>
      </c>
      <c r="D349" s="1">
        <f t="shared" si="47"/>
        <v>5.570775E-2</v>
      </c>
      <c r="L349" s="92"/>
    </row>
    <row r="350" spans="1:18">
      <c r="A350" s="93">
        <v>4</v>
      </c>
      <c r="B350" s="1">
        <f>C44*(C42-C47)/2</f>
        <v>1.0814999999999999</v>
      </c>
      <c r="C350" s="1">
        <f>(C42-C47)/3+C47</f>
        <v>0.7593333333333333</v>
      </c>
      <c r="D350" s="1">
        <f t="shared" si="47"/>
        <v>0.82121899999999992</v>
      </c>
      <c r="L350" s="92"/>
    </row>
    <row r="351" spans="1:18">
      <c r="A351" s="94"/>
      <c r="B351" s="1">
        <f>SUM(B347:B350)</f>
        <v>3.2752499999999998</v>
      </c>
      <c r="D351">
        <f>SUM(D347:D350)</f>
        <v>1.3626432499999999</v>
      </c>
      <c r="E351" s="135">
        <f>D351/B351</f>
        <v>0.41604251583848562</v>
      </c>
      <c r="F351" t="s">
        <v>292</v>
      </c>
      <c r="L351" s="92"/>
    </row>
    <row r="352" spans="1:18">
      <c r="A352" s="94"/>
      <c r="L352" s="92"/>
    </row>
    <row r="353" spans="1:12">
      <c r="A353" s="195" t="s">
        <v>348</v>
      </c>
      <c r="L353" s="92"/>
    </row>
    <row r="354" spans="1:12">
      <c r="A354" s="96"/>
      <c r="B354" t="s">
        <v>294</v>
      </c>
      <c r="C354" t="s">
        <v>4</v>
      </c>
      <c r="L354" s="92"/>
    </row>
    <row r="355" spans="1:12">
      <c r="A355" s="94">
        <v>1</v>
      </c>
      <c r="B355" s="1">
        <f>C36*C31*C39*C55</f>
        <v>61.776000000000003</v>
      </c>
      <c r="C355" s="3">
        <f>C36/2+C34+C35</f>
        <v>2.4</v>
      </c>
      <c r="D355" s="1">
        <f>B355*C355</f>
        <v>148.26240000000001</v>
      </c>
      <c r="L355" s="92"/>
    </row>
    <row r="356" spans="1:12">
      <c r="A356" s="94">
        <v>2</v>
      </c>
      <c r="B356" s="3">
        <f>-D341*C56</f>
        <v>-1.6376250000000001</v>
      </c>
      <c r="C356" s="3">
        <f>C34+C35+E351</f>
        <v>1.5160425158384858</v>
      </c>
      <c r="D356" s="1">
        <f>B356*C356</f>
        <v>-2.4827091250000004</v>
      </c>
      <c r="L356" s="92"/>
    </row>
    <row r="357" spans="1:12" ht="14.4" thickBot="1">
      <c r="A357" s="98"/>
      <c r="B357" s="8">
        <f>SUM(B355:B356)</f>
        <v>60.138375000000003</v>
      </c>
      <c r="C357" s="9"/>
      <c r="D357" s="8">
        <f>SUM(D355:D356)</f>
        <v>145.779690875</v>
      </c>
      <c r="E357" s="9">
        <f>D357/B357</f>
        <v>2.4240710008376514</v>
      </c>
      <c r="F357" s="100" t="s">
        <v>295</v>
      </c>
      <c r="G357" s="8"/>
      <c r="H357" s="8"/>
      <c r="I357" s="8"/>
      <c r="J357" s="8"/>
      <c r="K357" s="8"/>
      <c r="L357" s="99"/>
    </row>
  </sheetData>
  <mergeCells count="14">
    <mergeCell ref="A326:A331"/>
    <mergeCell ref="A332:A334"/>
    <mergeCell ref="R33:S33"/>
    <mergeCell ref="R34:S34"/>
    <mergeCell ref="R35:S35"/>
    <mergeCell ref="R36:S36"/>
    <mergeCell ref="D69:E69"/>
    <mergeCell ref="A317:A325"/>
    <mergeCell ref="R32:S32"/>
    <mergeCell ref="B2:E2"/>
    <mergeCell ref="F2:K3"/>
    <mergeCell ref="L2:O2"/>
    <mergeCell ref="B3:E3"/>
    <mergeCell ref="L3:O3"/>
  </mergeCells>
  <conditionalFormatting sqref="M224:M229 M235:M240">
    <cfRule type="cellIs" dxfId="3" priority="4" operator="lessThan">
      <formula>0</formula>
    </cfRule>
  </conditionalFormatting>
  <conditionalFormatting sqref="M224:M229">
    <cfRule type="cellIs" dxfId="2" priority="3" operator="lessThan">
      <formula>1</formula>
    </cfRule>
  </conditionalFormatting>
  <conditionalFormatting sqref="N273:N278">
    <cfRule type="cellIs" dxfId="1" priority="2" operator="lessThan">
      <formula>0</formula>
    </cfRule>
  </conditionalFormatting>
  <conditionalFormatting sqref="N304:O310">
    <cfRule type="cellIs" dxfId="0" priority="1" operator="lessThan">
      <formula>0</formula>
    </cfRule>
  </conditionalFormatting>
  <dataValidations count="1">
    <dataValidation type="list" allowBlank="1" showInputMessage="1" showErrorMessage="1" sqref="AB259 S259 W249 S255:S257" xr:uid="{00000000-0002-0000-0800-000000000000}">
      <formula1>#REF!</formula1>
    </dataValidation>
  </dataValidations>
  <pageMargins left="0.98425196850393704" right="0.19685039370078741" top="0.59055118110236227" bottom="0.59055118110236227" header="0.59055118110236227" footer="0.59055118110236227"/>
  <pageSetup paperSize="9" scale="83" fitToWidth="2" fitToHeight="2" orientation="portrait" r:id="rId1"/>
  <headerFooter>
    <oddFooter>&amp;L© 2014 Freyssinet Tierra Armada Perú S.A.C All Rights Reserved.</oddFooter>
  </headerFooter>
  <rowBreaks count="7" manualBreakCount="7">
    <brk id="49" min="1" max="14" man="1"/>
    <brk id="91" min="1" max="14" man="1"/>
    <brk id="157" min="1" max="14" man="1"/>
    <brk id="202" min="1" max="14" man="1"/>
    <brk id="241" min="1" max="14" man="1"/>
    <brk id="282" min="1" max="14" man="1"/>
    <brk id="309" min="1" max="14" man="1"/>
  </row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1000000}">
          <x14:formula1>
            <xm:f>'Base de datos '!$A$4:$A$18</xm:f>
          </x14:formula1>
          <xm:sqref>E40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7030A0"/>
  </sheetPr>
  <dimension ref="A1:M18"/>
  <sheetViews>
    <sheetView zoomScale="85" zoomScaleNormal="85" workbookViewId="0">
      <selection activeCell="D8" sqref="D8"/>
    </sheetView>
  </sheetViews>
  <sheetFormatPr baseColWidth="10" defaultRowHeight="13.8"/>
  <sheetData>
    <row r="1" spans="1:13">
      <c r="A1" s="170" t="s">
        <v>366</v>
      </c>
    </row>
    <row r="3" spans="1:13" ht="14.4" thickBot="1">
      <c r="A3" s="30" t="s">
        <v>194</v>
      </c>
      <c r="B3" s="75" t="s">
        <v>202</v>
      </c>
      <c r="C3" s="75" t="s">
        <v>203</v>
      </c>
      <c r="D3" s="75" t="s">
        <v>72</v>
      </c>
      <c r="E3" s="75" t="s">
        <v>27</v>
      </c>
      <c r="F3" s="75" t="s">
        <v>22</v>
      </c>
      <c r="G3" s="75" t="s">
        <v>251</v>
      </c>
      <c r="H3" s="75" t="s">
        <v>252</v>
      </c>
      <c r="I3" s="203"/>
      <c r="J3" s="203"/>
      <c r="K3" s="203"/>
      <c r="M3" s="57"/>
    </row>
    <row r="4" spans="1:13">
      <c r="A4" s="202" t="s">
        <v>380</v>
      </c>
      <c r="B4" s="121">
        <v>0</v>
      </c>
      <c r="C4" s="121">
        <v>0</v>
      </c>
      <c r="D4" s="121">
        <v>0</v>
      </c>
      <c r="E4" s="33">
        <v>1E-4</v>
      </c>
      <c r="F4" s="105">
        <v>0</v>
      </c>
      <c r="G4" s="105">
        <v>0</v>
      </c>
      <c r="H4" s="33">
        <v>1E-4</v>
      </c>
      <c r="I4" s="33"/>
      <c r="J4" s="33"/>
      <c r="K4" s="33"/>
      <c r="M4" s="33"/>
    </row>
    <row r="5" spans="1:13">
      <c r="A5" s="202" t="s">
        <v>208</v>
      </c>
      <c r="B5" s="121">
        <v>0.43</v>
      </c>
      <c r="C5" s="121">
        <v>0.67</v>
      </c>
      <c r="D5" s="121">
        <v>1.5</v>
      </c>
      <c r="E5" s="121">
        <v>0</v>
      </c>
      <c r="F5" s="105">
        <v>0.155</v>
      </c>
      <c r="G5" s="105">
        <v>0</v>
      </c>
      <c r="H5" s="33">
        <f>F5*D5+B5</f>
        <v>0.66249999999999998</v>
      </c>
      <c r="I5" s="33"/>
      <c r="J5" s="33"/>
      <c r="K5" s="33"/>
      <c r="M5" s="33"/>
    </row>
    <row r="6" spans="1:13">
      <c r="A6" s="202" t="s">
        <v>367</v>
      </c>
      <c r="B6" s="121">
        <v>0.36</v>
      </c>
      <c r="C6" s="121">
        <v>0.67</v>
      </c>
      <c r="D6" s="121">
        <v>2</v>
      </c>
      <c r="E6" s="121">
        <v>0</v>
      </c>
      <c r="F6" s="105">
        <v>0.155</v>
      </c>
      <c r="G6" s="105">
        <v>0</v>
      </c>
      <c r="H6" s="33">
        <f t="shared" ref="H6:H17" si="0">F6*D6+B6</f>
        <v>0.66999999999999993</v>
      </c>
      <c r="I6" s="33"/>
      <c r="J6" s="33"/>
      <c r="K6" s="33"/>
      <c r="M6" s="33"/>
    </row>
    <row r="7" spans="1:13">
      <c r="A7" s="202" t="s">
        <v>368</v>
      </c>
      <c r="B7" s="121">
        <v>0.433</v>
      </c>
      <c r="C7" s="121">
        <v>0.82</v>
      </c>
      <c r="D7" s="121">
        <v>2.5</v>
      </c>
      <c r="E7" s="121">
        <v>0</v>
      </c>
      <c r="F7" s="105">
        <v>0.155</v>
      </c>
      <c r="G7" s="105">
        <v>0</v>
      </c>
      <c r="H7" s="33">
        <f t="shared" si="0"/>
        <v>0.82050000000000001</v>
      </c>
      <c r="I7" s="33"/>
      <c r="J7" s="33"/>
      <c r="K7" s="33"/>
      <c r="M7" s="33"/>
    </row>
    <row r="8" spans="1:13">
      <c r="A8" s="202" t="s">
        <v>369</v>
      </c>
      <c r="B8" s="121">
        <v>0.35599999999999998</v>
      </c>
      <c r="C8" s="121">
        <v>0.82</v>
      </c>
      <c r="D8" s="121">
        <v>3</v>
      </c>
      <c r="E8" s="121">
        <v>0</v>
      </c>
      <c r="F8" s="105">
        <v>0.155</v>
      </c>
      <c r="G8" s="105">
        <v>0</v>
      </c>
      <c r="H8" s="33">
        <f t="shared" si="0"/>
        <v>0.82099999999999995</v>
      </c>
      <c r="I8" s="33"/>
      <c r="J8" s="33"/>
      <c r="K8" s="33"/>
      <c r="M8" s="33"/>
    </row>
    <row r="9" spans="1:13">
      <c r="A9" s="202" t="s">
        <v>370</v>
      </c>
      <c r="B9" s="121">
        <v>0.33</v>
      </c>
      <c r="C9" s="121">
        <v>1</v>
      </c>
      <c r="D9" s="121">
        <v>1.5</v>
      </c>
      <c r="E9" s="121">
        <v>2</v>
      </c>
      <c r="F9" s="105">
        <v>0.126</v>
      </c>
      <c r="G9" s="105">
        <v>0.24</v>
      </c>
      <c r="H9" s="33">
        <f t="shared" si="0"/>
        <v>0.51900000000000002</v>
      </c>
      <c r="I9" s="33"/>
      <c r="J9" s="33"/>
      <c r="K9" s="33"/>
      <c r="M9" s="33"/>
    </row>
    <row r="10" spans="1:13">
      <c r="A10" s="202" t="s">
        <v>371</v>
      </c>
      <c r="B10" s="121">
        <v>0.26</v>
      </c>
      <c r="C10" s="121">
        <v>1</v>
      </c>
      <c r="D10" s="121">
        <v>2</v>
      </c>
      <c r="E10" s="121">
        <v>2</v>
      </c>
      <c r="F10" s="105">
        <v>0.126</v>
      </c>
      <c r="G10" s="105">
        <v>0.24</v>
      </c>
      <c r="H10" s="33">
        <f t="shared" si="0"/>
        <v>0.51200000000000001</v>
      </c>
      <c r="I10" s="33"/>
      <c r="J10" s="33"/>
      <c r="K10" s="33"/>
      <c r="M10" s="33"/>
    </row>
    <row r="11" spans="1:13">
      <c r="A11" s="202" t="s">
        <v>372</v>
      </c>
      <c r="B11" s="121">
        <v>0.33</v>
      </c>
      <c r="C11" s="121">
        <v>1.24</v>
      </c>
      <c r="D11" s="121">
        <v>1.5</v>
      </c>
      <c r="E11" s="121">
        <v>3</v>
      </c>
      <c r="F11" s="105">
        <v>0.126</v>
      </c>
      <c r="G11" s="105">
        <v>0.24</v>
      </c>
      <c r="H11" s="33">
        <f t="shared" si="0"/>
        <v>0.51900000000000002</v>
      </c>
      <c r="I11" s="33"/>
      <c r="J11" s="33"/>
      <c r="K11" s="33"/>
      <c r="M11" s="33"/>
    </row>
    <row r="12" spans="1:13">
      <c r="A12" s="202" t="s">
        <v>373</v>
      </c>
      <c r="B12" s="121">
        <v>0.26</v>
      </c>
      <c r="C12" s="121">
        <v>1.24</v>
      </c>
      <c r="D12" s="121">
        <v>2</v>
      </c>
      <c r="E12" s="121">
        <v>3</v>
      </c>
      <c r="F12" s="105">
        <v>0.126</v>
      </c>
      <c r="G12" s="105">
        <v>0.24</v>
      </c>
      <c r="H12" s="33">
        <f t="shared" si="0"/>
        <v>0.51200000000000001</v>
      </c>
      <c r="I12" s="33"/>
      <c r="J12" s="33"/>
      <c r="K12" s="33"/>
      <c r="M12" s="33"/>
    </row>
    <row r="13" spans="1:13">
      <c r="A13" s="202" t="s">
        <v>374</v>
      </c>
      <c r="B13" s="121">
        <v>0.33</v>
      </c>
      <c r="C13" s="121">
        <v>1.48</v>
      </c>
      <c r="D13" s="121">
        <v>1.5</v>
      </c>
      <c r="E13" s="121">
        <v>4</v>
      </c>
      <c r="F13" s="105">
        <v>0.126</v>
      </c>
      <c r="G13" s="105">
        <v>0.24</v>
      </c>
      <c r="H13" s="33">
        <f t="shared" si="0"/>
        <v>0.51900000000000002</v>
      </c>
      <c r="I13" s="33"/>
      <c r="J13" s="33"/>
      <c r="K13" s="33"/>
      <c r="M13" s="33"/>
    </row>
    <row r="14" spans="1:13">
      <c r="A14" s="202" t="s">
        <v>375</v>
      </c>
      <c r="B14" s="121">
        <v>0.26</v>
      </c>
      <c r="C14" s="121">
        <v>1.48</v>
      </c>
      <c r="D14" s="121">
        <v>2</v>
      </c>
      <c r="E14" s="121">
        <v>4</v>
      </c>
      <c r="F14" s="105">
        <v>0.126</v>
      </c>
      <c r="G14" s="105">
        <v>0.24</v>
      </c>
      <c r="H14" s="33">
        <f t="shared" si="0"/>
        <v>0.51200000000000001</v>
      </c>
      <c r="I14" s="33"/>
      <c r="J14" s="33"/>
      <c r="K14" s="33"/>
      <c r="M14" s="33"/>
    </row>
    <row r="15" spans="1:13">
      <c r="A15" s="202" t="s">
        <v>376</v>
      </c>
      <c r="B15" s="121">
        <v>0.33</v>
      </c>
      <c r="C15" s="121">
        <v>1.72</v>
      </c>
      <c r="D15" s="121">
        <v>1.5</v>
      </c>
      <c r="E15" s="121">
        <v>5</v>
      </c>
      <c r="F15" s="105">
        <v>0.126</v>
      </c>
      <c r="G15" s="105">
        <v>0.24</v>
      </c>
      <c r="H15" s="33">
        <f t="shared" si="0"/>
        <v>0.51900000000000002</v>
      </c>
      <c r="I15" s="33"/>
      <c r="J15" s="33"/>
      <c r="K15" s="33"/>
      <c r="M15" s="33"/>
    </row>
    <row r="16" spans="1:13">
      <c r="A16" s="202" t="s">
        <v>377</v>
      </c>
      <c r="B16" s="121">
        <v>0.26</v>
      </c>
      <c r="C16" s="121">
        <v>1.72</v>
      </c>
      <c r="D16" s="121">
        <v>2</v>
      </c>
      <c r="E16" s="121">
        <v>5</v>
      </c>
      <c r="F16" s="105">
        <v>0.126</v>
      </c>
      <c r="G16" s="105">
        <v>0.24</v>
      </c>
      <c r="H16" s="33">
        <f t="shared" si="0"/>
        <v>0.51200000000000001</v>
      </c>
      <c r="I16" s="33"/>
      <c r="J16" s="33"/>
      <c r="K16" s="33"/>
      <c r="M16" s="33"/>
    </row>
    <row r="17" spans="1:13">
      <c r="A17" s="202" t="s">
        <v>378</v>
      </c>
      <c r="B17" s="121">
        <v>0.2</v>
      </c>
      <c r="C17" s="121">
        <v>1.72</v>
      </c>
      <c r="D17" s="121">
        <v>2.5</v>
      </c>
      <c r="E17" s="121">
        <v>5</v>
      </c>
      <c r="F17" s="105">
        <v>0.126</v>
      </c>
      <c r="G17" s="105">
        <v>0.24</v>
      </c>
      <c r="H17" s="33">
        <f t="shared" si="0"/>
        <v>0.51500000000000001</v>
      </c>
      <c r="I17" s="33"/>
      <c r="J17" s="33"/>
      <c r="K17" s="33"/>
      <c r="M17" s="33"/>
    </row>
    <row r="18" spans="1:13">
      <c r="A18" s="202"/>
      <c r="B18" s="121"/>
      <c r="C18" s="121"/>
      <c r="D18" s="121"/>
      <c r="E18" s="121"/>
      <c r="F18" s="105"/>
      <c r="G18" s="105"/>
      <c r="H18" s="33"/>
      <c r="I18" s="33"/>
      <c r="J18" s="33"/>
      <c r="K18" s="33"/>
      <c r="M18" s="33"/>
    </row>
  </sheetData>
  <dataValidations count="2">
    <dataValidation allowBlank="1" showInputMessage="1" showErrorMessage="1" promptTitle="Alerta!" prompt="Valor muy pequeño, diferente de cero. " sqref="E4" xr:uid="{00000000-0002-0000-1000-000000000000}"/>
    <dataValidation allowBlank="1" showInputMessage="1" showErrorMessage="1" promptTitle="Alerta!" prompt="Valor muy pequeño, diferente de cero" sqref="H4" xr:uid="{00000000-0002-0000-1000-000001000000}"/>
  </dataValidation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A51"/>
  <sheetViews>
    <sheetView topLeftCell="A28" zoomScale="70" zoomScaleNormal="70" workbookViewId="0">
      <selection activeCell="K144" sqref="K144"/>
    </sheetView>
  </sheetViews>
  <sheetFormatPr baseColWidth="10" defaultRowHeight="13.8"/>
  <sheetData>
    <row r="1" spans="1:27">
      <c r="A1" s="126"/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</row>
    <row r="2" spans="1:27">
      <c r="A2" s="1"/>
      <c r="B2" t="s">
        <v>230</v>
      </c>
      <c r="C2" s="1"/>
      <c r="D2" s="1"/>
      <c r="E2" s="1"/>
      <c r="F2" s="1"/>
      <c r="G2" s="1"/>
      <c r="H2" s="1" t="s">
        <v>231</v>
      </c>
      <c r="I2" s="1"/>
      <c r="J2" s="1"/>
      <c r="K2" s="1"/>
      <c r="L2" s="1"/>
      <c r="M2" s="1"/>
      <c r="N2" s="1"/>
      <c r="O2" s="1"/>
      <c r="P2" s="1" t="s">
        <v>235</v>
      </c>
      <c r="Q2" s="1"/>
      <c r="R2" s="1"/>
      <c r="T2" s="1"/>
      <c r="U2" s="1"/>
      <c r="V2" s="1"/>
      <c r="W2" s="1"/>
      <c r="X2" s="1"/>
      <c r="Y2" s="1"/>
      <c r="Z2" s="1"/>
      <c r="AA2" s="1"/>
    </row>
    <row r="3" spans="1:27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 t="s">
        <v>236</v>
      </c>
      <c r="Q3" s="1"/>
      <c r="R3" s="1"/>
      <c r="T3" s="1"/>
      <c r="U3" s="1"/>
      <c r="V3" s="1"/>
      <c r="W3" s="1"/>
      <c r="X3" s="1"/>
      <c r="Y3" s="1"/>
      <c r="Z3" s="1"/>
      <c r="AA3" s="1"/>
    </row>
    <row r="4" spans="1:2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 t="s">
        <v>202</v>
      </c>
      <c r="T4" s="1"/>
      <c r="U4" s="1"/>
      <c r="V4" s="1"/>
      <c r="W4" s="1"/>
      <c r="X4" s="1"/>
      <c r="Y4" s="1"/>
      <c r="Z4" s="1"/>
      <c r="AA4" s="1"/>
    </row>
    <row r="5" spans="1:27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 t="s">
        <v>133</v>
      </c>
      <c r="T5" s="1"/>
      <c r="U5" s="1"/>
      <c r="V5" s="1"/>
      <c r="W5" s="1"/>
      <c r="X5" s="1"/>
      <c r="Y5" s="1"/>
      <c r="Z5" s="1"/>
      <c r="AA5" s="1"/>
    </row>
    <row r="6" spans="1:27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>
      <c r="A26" s="1"/>
      <c r="B26" s="130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>
      <c r="A27" s="130"/>
      <c r="B27" s="206"/>
      <c r="C27" s="130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>
      <c r="A28" s="1"/>
      <c r="B28" s="229"/>
      <c r="C28" s="230"/>
      <c r="D28" s="97"/>
      <c r="E28" s="97"/>
      <c r="F28" s="1"/>
      <c r="G28" s="1"/>
      <c r="H28" s="1"/>
      <c r="I28" s="1"/>
      <c r="J28" s="1"/>
      <c r="K28" s="6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>
      <c r="B29" s="1"/>
      <c r="C29" s="1"/>
      <c r="D29" s="204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>
      <c r="B30" s="1"/>
      <c r="C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>
      <c r="B31" s="1"/>
      <c r="C31" s="1"/>
      <c r="D31" s="25"/>
      <c r="E31" s="97"/>
      <c r="F31" s="140"/>
      <c r="G31" s="141"/>
      <c r="H31" s="142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>
      <c r="A32" s="1"/>
      <c r="B32" s="166" t="s">
        <v>232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27">
      <c r="B36" s="1"/>
      <c r="C36" s="1"/>
      <c r="D36" s="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27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P37" s="143"/>
      <c r="Q37" s="143"/>
    </row>
    <row r="38" spans="1:27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P38" s="143"/>
      <c r="Q38" s="143"/>
    </row>
    <row r="39" spans="1:27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P39" s="143"/>
      <c r="Q39" s="143"/>
    </row>
    <row r="40" spans="1:27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P40" s="143"/>
      <c r="Q40" s="143"/>
    </row>
    <row r="41" spans="1:27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P41" s="143"/>
      <c r="Q41" s="143"/>
    </row>
    <row r="42" spans="1:27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P42" s="143"/>
      <c r="Q42" s="143"/>
    </row>
    <row r="43" spans="1:27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P43" s="143"/>
      <c r="Q43" s="143"/>
    </row>
    <row r="44" spans="1:27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27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27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27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27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2:17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2:17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2:17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</sheetData>
  <mergeCells count="1">
    <mergeCell ref="B28:C28"/>
  </mergeCells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AutoCAD.Drawing.19" shapeId="163841" r:id="rId3">
          <objectPr defaultSize="0" autoPict="0" r:id="rId4">
            <anchor moveWithCells="1">
              <from>
                <xdr:col>7</xdr:col>
                <xdr:colOff>45720</xdr:colOff>
                <xdr:row>33</xdr:row>
                <xdr:rowOff>7620</xdr:rowOff>
              </from>
              <to>
                <xdr:col>12</xdr:col>
                <xdr:colOff>388620</xdr:colOff>
                <xdr:row>50</xdr:row>
                <xdr:rowOff>137160</xdr:rowOff>
              </to>
            </anchor>
          </objectPr>
        </oleObject>
      </mc:Choice>
      <mc:Fallback>
        <oleObject progId="AutoCAD.Drawing.19" shapeId="163841" r:id="rId3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5"/>
  <dimension ref="A2:T245"/>
  <sheetViews>
    <sheetView workbookViewId="0">
      <selection activeCell="J19" sqref="J19"/>
    </sheetView>
  </sheetViews>
  <sheetFormatPr baseColWidth="10" defaultColWidth="10.125" defaultRowHeight="13.8"/>
  <cols>
    <col min="1" max="16384" width="10.125" style="28"/>
  </cols>
  <sheetData>
    <row r="2" spans="1:20">
      <c r="A2" s="27" t="s">
        <v>85</v>
      </c>
    </row>
    <row r="3" spans="1:20">
      <c r="B3" s="28">
        <v>15</v>
      </c>
      <c r="C3" s="28">
        <v>20</v>
      </c>
      <c r="D3" s="28">
        <v>25</v>
      </c>
      <c r="E3" s="28">
        <v>30</v>
      </c>
      <c r="F3" s="28">
        <v>35</v>
      </c>
      <c r="G3" s="28">
        <v>40</v>
      </c>
      <c r="H3" s="28">
        <v>45</v>
      </c>
      <c r="I3" s="28">
        <v>50</v>
      </c>
      <c r="J3" s="28">
        <v>55</v>
      </c>
      <c r="K3" s="28">
        <v>60</v>
      </c>
      <c r="L3" s="28">
        <v>65</v>
      </c>
      <c r="M3" s="28">
        <v>70</v>
      </c>
      <c r="N3" s="28">
        <v>75</v>
      </c>
      <c r="O3" s="28">
        <v>80</v>
      </c>
      <c r="P3" s="28">
        <v>85</v>
      </c>
      <c r="Q3" s="28">
        <v>90</v>
      </c>
      <c r="R3" s="28">
        <v>95</v>
      </c>
      <c r="S3" s="28">
        <v>100</v>
      </c>
      <c r="T3" s="28">
        <v>105</v>
      </c>
    </row>
    <row r="4" spans="1:20">
      <c r="A4" s="28">
        <v>470</v>
      </c>
      <c r="B4" s="28" t="str">
        <f>"H"&amp;B$3&amp;"!"&amp;"M"&amp;$A4</f>
        <v>H15!M470</v>
      </c>
      <c r="C4" s="28" t="str">
        <f t="shared" ref="B4:H15" si="0">"H"&amp;C$3&amp;"!"&amp;"M"&amp;$A4</f>
        <v>H20!M470</v>
      </c>
      <c r="D4" s="28" t="str">
        <f t="shared" si="0"/>
        <v>H25!M470</v>
      </c>
      <c r="E4" s="28" t="str">
        <f t="shared" si="0"/>
        <v>H30!M470</v>
      </c>
      <c r="F4" s="28" t="str">
        <f t="shared" si="0"/>
        <v>H35!M470</v>
      </c>
      <c r="G4" s="28" t="str">
        <f t="shared" si="0"/>
        <v>H40!M470</v>
      </c>
      <c r="H4" s="28" t="str">
        <f t="shared" si="0"/>
        <v>H45!M470</v>
      </c>
      <c r="I4" s="28" t="str">
        <f>"H"&amp;I$3&amp;"!"&amp;"M"&amp;$A4</f>
        <v>H50!M470</v>
      </c>
      <c r="J4" s="28" t="str">
        <f t="shared" ref="J4:T4" si="1">"H"&amp;J$3&amp;"!"&amp;"M"&amp;$A4</f>
        <v>H55!M470</v>
      </c>
      <c r="K4" s="28" t="str">
        <f t="shared" si="1"/>
        <v>H60!M470</v>
      </c>
      <c r="L4" s="28" t="str">
        <f t="shared" si="1"/>
        <v>H65!M470</v>
      </c>
      <c r="M4" s="28" t="str">
        <f t="shared" si="1"/>
        <v>H70!M470</v>
      </c>
      <c r="N4" s="28" t="str">
        <f t="shared" si="1"/>
        <v>H75!M470</v>
      </c>
      <c r="O4" s="28" t="str">
        <f t="shared" si="1"/>
        <v>H80!M470</v>
      </c>
      <c r="P4" s="28" t="str">
        <f t="shared" si="1"/>
        <v>H85!M470</v>
      </c>
      <c r="Q4" s="28" t="str">
        <f t="shared" si="1"/>
        <v>H90!M470</v>
      </c>
      <c r="R4" s="28" t="str">
        <f t="shared" si="1"/>
        <v>H95!M470</v>
      </c>
      <c r="S4" s="28" t="str">
        <f t="shared" si="1"/>
        <v>H100!M470</v>
      </c>
      <c r="T4" s="28" t="str">
        <f t="shared" si="1"/>
        <v>H105!M470</v>
      </c>
    </row>
    <row r="5" spans="1:20">
      <c r="A5" s="28">
        <v>471</v>
      </c>
      <c r="B5" s="28" t="str">
        <f t="shared" si="0"/>
        <v>H15!M471</v>
      </c>
      <c r="C5" s="28" t="str">
        <f t="shared" si="0"/>
        <v>H20!M471</v>
      </c>
      <c r="D5" s="28" t="str">
        <f t="shared" si="0"/>
        <v>H25!M471</v>
      </c>
      <c r="E5" s="28" t="str">
        <f t="shared" si="0"/>
        <v>H30!M471</v>
      </c>
      <c r="F5" s="28" t="str">
        <f t="shared" si="0"/>
        <v>H35!M471</v>
      </c>
      <c r="G5" s="28" t="str">
        <f t="shared" si="0"/>
        <v>H40!M471</v>
      </c>
      <c r="H5" s="28" t="str">
        <f t="shared" si="0"/>
        <v>H45!M471</v>
      </c>
      <c r="I5" s="28" t="str">
        <f t="shared" ref="I5:T15" si="2">"H"&amp;I$3&amp;"!"&amp;"M"&amp;$A5</f>
        <v>H50!M471</v>
      </c>
      <c r="J5" s="28" t="str">
        <f t="shared" si="2"/>
        <v>H55!M471</v>
      </c>
      <c r="K5" s="28" t="str">
        <f t="shared" si="2"/>
        <v>H60!M471</v>
      </c>
      <c r="L5" s="28" t="str">
        <f t="shared" si="2"/>
        <v>H65!M471</v>
      </c>
      <c r="M5" s="28" t="str">
        <f t="shared" si="2"/>
        <v>H70!M471</v>
      </c>
      <c r="N5" s="28" t="str">
        <f t="shared" si="2"/>
        <v>H75!M471</v>
      </c>
      <c r="O5" s="28" t="str">
        <f t="shared" si="2"/>
        <v>H80!M471</v>
      </c>
      <c r="P5" s="28" t="str">
        <f t="shared" si="2"/>
        <v>H85!M471</v>
      </c>
      <c r="Q5" s="28" t="str">
        <f t="shared" si="2"/>
        <v>H90!M471</v>
      </c>
      <c r="R5" s="28" t="str">
        <f t="shared" si="2"/>
        <v>H95!M471</v>
      </c>
      <c r="S5" s="28" t="str">
        <f t="shared" si="2"/>
        <v>H100!M471</v>
      </c>
      <c r="T5" s="28" t="str">
        <f t="shared" si="2"/>
        <v>H105!M471</v>
      </c>
    </row>
    <row r="6" spans="1:20">
      <c r="A6" s="28">
        <v>472</v>
      </c>
      <c r="B6" s="28" t="str">
        <f t="shared" si="0"/>
        <v>H15!M472</v>
      </c>
      <c r="C6" s="28" t="str">
        <f t="shared" si="0"/>
        <v>H20!M472</v>
      </c>
      <c r="D6" s="28" t="str">
        <f t="shared" si="0"/>
        <v>H25!M472</v>
      </c>
      <c r="E6" s="28" t="str">
        <f t="shared" si="0"/>
        <v>H30!M472</v>
      </c>
      <c r="F6" s="28" t="str">
        <f t="shared" si="0"/>
        <v>H35!M472</v>
      </c>
      <c r="G6" s="28" t="str">
        <f t="shared" si="0"/>
        <v>H40!M472</v>
      </c>
      <c r="H6" s="28" t="str">
        <f t="shared" si="0"/>
        <v>H45!M472</v>
      </c>
      <c r="I6" s="28" t="str">
        <f t="shared" si="2"/>
        <v>H50!M472</v>
      </c>
      <c r="J6" s="28" t="str">
        <f t="shared" si="2"/>
        <v>H55!M472</v>
      </c>
      <c r="K6" s="28" t="str">
        <f t="shared" si="2"/>
        <v>H60!M472</v>
      </c>
      <c r="L6" s="28" t="str">
        <f t="shared" si="2"/>
        <v>H65!M472</v>
      </c>
      <c r="M6" s="28" t="str">
        <f t="shared" si="2"/>
        <v>H70!M472</v>
      </c>
      <c r="N6" s="28" t="str">
        <f t="shared" si="2"/>
        <v>H75!M472</v>
      </c>
      <c r="O6" s="28" t="str">
        <f t="shared" si="2"/>
        <v>H80!M472</v>
      </c>
      <c r="P6" s="28" t="str">
        <f t="shared" si="2"/>
        <v>H85!M472</v>
      </c>
      <c r="Q6" s="28" t="str">
        <f t="shared" si="2"/>
        <v>H90!M472</v>
      </c>
      <c r="R6" s="28" t="str">
        <f t="shared" si="2"/>
        <v>H95!M472</v>
      </c>
      <c r="S6" s="28" t="str">
        <f t="shared" si="2"/>
        <v>H100!M472</v>
      </c>
      <c r="T6" s="28" t="str">
        <f t="shared" si="2"/>
        <v>H105!M472</v>
      </c>
    </row>
    <row r="7" spans="1:20">
      <c r="A7" s="28">
        <v>473</v>
      </c>
      <c r="B7" s="28" t="str">
        <f t="shared" si="0"/>
        <v>H15!M473</v>
      </c>
      <c r="C7" s="28" t="str">
        <f t="shared" si="0"/>
        <v>H20!M473</v>
      </c>
      <c r="D7" s="28" t="str">
        <f t="shared" si="0"/>
        <v>H25!M473</v>
      </c>
      <c r="E7" s="28" t="str">
        <f t="shared" si="0"/>
        <v>H30!M473</v>
      </c>
      <c r="F7" s="28" t="str">
        <f t="shared" si="0"/>
        <v>H35!M473</v>
      </c>
      <c r="G7" s="28" t="str">
        <f t="shared" si="0"/>
        <v>H40!M473</v>
      </c>
      <c r="H7" s="28" t="str">
        <f t="shared" si="0"/>
        <v>H45!M473</v>
      </c>
      <c r="I7" s="28" t="str">
        <f t="shared" si="2"/>
        <v>H50!M473</v>
      </c>
      <c r="J7" s="28" t="str">
        <f t="shared" si="2"/>
        <v>H55!M473</v>
      </c>
      <c r="K7" s="28" t="str">
        <f t="shared" si="2"/>
        <v>H60!M473</v>
      </c>
      <c r="L7" s="28" t="str">
        <f t="shared" si="2"/>
        <v>H65!M473</v>
      </c>
      <c r="M7" s="28" t="str">
        <f t="shared" si="2"/>
        <v>H70!M473</v>
      </c>
      <c r="N7" s="28" t="str">
        <f t="shared" si="2"/>
        <v>H75!M473</v>
      </c>
      <c r="O7" s="28" t="str">
        <f t="shared" si="2"/>
        <v>H80!M473</v>
      </c>
      <c r="P7" s="28" t="str">
        <f t="shared" si="2"/>
        <v>H85!M473</v>
      </c>
      <c r="Q7" s="28" t="str">
        <f t="shared" si="2"/>
        <v>H90!M473</v>
      </c>
      <c r="R7" s="28" t="str">
        <f t="shared" si="2"/>
        <v>H95!M473</v>
      </c>
      <c r="S7" s="28" t="str">
        <f t="shared" si="2"/>
        <v>H100!M473</v>
      </c>
      <c r="T7" s="28" t="str">
        <f t="shared" si="2"/>
        <v>H105!M473</v>
      </c>
    </row>
    <row r="8" spans="1:20">
      <c r="A8" s="28">
        <v>474</v>
      </c>
      <c r="B8" s="28" t="str">
        <f t="shared" si="0"/>
        <v>H15!M474</v>
      </c>
      <c r="C8" s="28" t="str">
        <f t="shared" si="0"/>
        <v>H20!M474</v>
      </c>
      <c r="D8" s="28" t="str">
        <f t="shared" si="0"/>
        <v>H25!M474</v>
      </c>
      <c r="E8" s="28" t="str">
        <f t="shared" si="0"/>
        <v>H30!M474</v>
      </c>
      <c r="F8" s="28" t="str">
        <f t="shared" si="0"/>
        <v>H35!M474</v>
      </c>
      <c r="G8" s="28" t="str">
        <f t="shared" si="0"/>
        <v>H40!M474</v>
      </c>
      <c r="H8" s="28" t="str">
        <f t="shared" si="0"/>
        <v>H45!M474</v>
      </c>
      <c r="I8" s="28" t="str">
        <f t="shared" si="2"/>
        <v>H50!M474</v>
      </c>
      <c r="J8" s="28" t="str">
        <f t="shared" si="2"/>
        <v>H55!M474</v>
      </c>
      <c r="K8" s="28" t="str">
        <f t="shared" si="2"/>
        <v>H60!M474</v>
      </c>
      <c r="L8" s="28" t="str">
        <f t="shared" si="2"/>
        <v>H65!M474</v>
      </c>
      <c r="M8" s="28" t="str">
        <f t="shared" si="2"/>
        <v>H70!M474</v>
      </c>
      <c r="N8" s="28" t="str">
        <f t="shared" si="2"/>
        <v>H75!M474</v>
      </c>
      <c r="O8" s="28" t="str">
        <f t="shared" si="2"/>
        <v>H80!M474</v>
      </c>
      <c r="P8" s="28" t="str">
        <f t="shared" si="2"/>
        <v>H85!M474</v>
      </c>
      <c r="Q8" s="28" t="str">
        <f t="shared" si="2"/>
        <v>H90!M474</v>
      </c>
      <c r="R8" s="28" t="str">
        <f t="shared" si="2"/>
        <v>H95!M474</v>
      </c>
      <c r="S8" s="28" t="str">
        <f t="shared" si="2"/>
        <v>H100!M474</v>
      </c>
      <c r="T8" s="28" t="str">
        <f t="shared" si="2"/>
        <v>H105!M474</v>
      </c>
    </row>
    <row r="9" spans="1:20">
      <c r="A9" s="28">
        <v>475</v>
      </c>
      <c r="B9" s="28" t="str">
        <f t="shared" si="0"/>
        <v>H15!M475</v>
      </c>
      <c r="C9" s="28" t="str">
        <f t="shared" si="0"/>
        <v>H20!M475</v>
      </c>
      <c r="D9" s="28" t="str">
        <f t="shared" si="0"/>
        <v>H25!M475</v>
      </c>
      <c r="E9" s="28" t="str">
        <f t="shared" si="0"/>
        <v>H30!M475</v>
      </c>
      <c r="F9" s="28" t="str">
        <f t="shared" si="0"/>
        <v>H35!M475</v>
      </c>
      <c r="G9" s="28" t="str">
        <f t="shared" si="0"/>
        <v>H40!M475</v>
      </c>
      <c r="H9" s="28" t="str">
        <f t="shared" si="0"/>
        <v>H45!M475</v>
      </c>
      <c r="I9" s="28" t="str">
        <f t="shared" si="2"/>
        <v>H50!M475</v>
      </c>
      <c r="J9" s="28" t="str">
        <f t="shared" si="2"/>
        <v>H55!M475</v>
      </c>
      <c r="K9" s="28" t="str">
        <f t="shared" si="2"/>
        <v>H60!M475</v>
      </c>
      <c r="L9" s="28" t="str">
        <f t="shared" si="2"/>
        <v>H65!M475</v>
      </c>
      <c r="M9" s="28" t="str">
        <f t="shared" si="2"/>
        <v>H70!M475</v>
      </c>
      <c r="N9" s="28" t="str">
        <f t="shared" si="2"/>
        <v>H75!M475</v>
      </c>
      <c r="O9" s="28" t="str">
        <f t="shared" si="2"/>
        <v>H80!M475</v>
      </c>
      <c r="P9" s="28" t="str">
        <f t="shared" si="2"/>
        <v>H85!M475</v>
      </c>
      <c r="Q9" s="28" t="str">
        <f t="shared" si="2"/>
        <v>H90!M475</v>
      </c>
      <c r="R9" s="28" t="str">
        <f t="shared" si="2"/>
        <v>H95!M475</v>
      </c>
      <c r="S9" s="28" t="str">
        <f t="shared" si="2"/>
        <v>H100!M475</v>
      </c>
      <c r="T9" s="28" t="str">
        <f t="shared" si="2"/>
        <v>H105!M475</v>
      </c>
    </row>
    <row r="10" spans="1:20">
      <c r="A10" s="28">
        <v>476</v>
      </c>
      <c r="B10" s="28" t="str">
        <f t="shared" si="0"/>
        <v>H15!M476</v>
      </c>
      <c r="C10" s="28" t="str">
        <f t="shared" si="0"/>
        <v>H20!M476</v>
      </c>
      <c r="D10" s="28" t="str">
        <f t="shared" si="0"/>
        <v>H25!M476</v>
      </c>
      <c r="E10" s="28" t="str">
        <f t="shared" si="0"/>
        <v>H30!M476</v>
      </c>
      <c r="F10" s="28" t="str">
        <f t="shared" si="0"/>
        <v>H35!M476</v>
      </c>
      <c r="G10" s="28" t="str">
        <f t="shared" si="0"/>
        <v>H40!M476</v>
      </c>
      <c r="H10" s="28" t="str">
        <f t="shared" si="0"/>
        <v>H45!M476</v>
      </c>
      <c r="I10" s="28" t="str">
        <f t="shared" si="2"/>
        <v>H50!M476</v>
      </c>
      <c r="J10" s="28" t="str">
        <f t="shared" si="2"/>
        <v>H55!M476</v>
      </c>
      <c r="K10" s="28" t="str">
        <f t="shared" si="2"/>
        <v>H60!M476</v>
      </c>
      <c r="L10" s="28" t="str">
        <f t="shared" si="2"/>
        <v>H65!M476</v>
      </c>
      <c r="M10" s="28" t="str">
        <f t="shared" si="2"/>
        <v>H70!M476</v>
      </c>
      <c r="N10" s="28" t="str">
        <f t="shared" si="2"/>
        <v>H75!M476</v>
      </c>
      <c r="O10" s="28" t="str">
        <f t="shared" si="2"/>
        <v>H80!M476</v>
      </c>
      <c r="P10" s="28" t="str">
        <f t="shared" si="2"/>
        <v>H85!M476</v>
      </c>
      <c r="Q10" s="28" t="str">
        <f t="shared" si="2"/>
        <v>H90!M476</v>
      </c>
      <c r="R10" s="28" t="str">
        <f t="shared" si="2"/>
        <v>H95!M476</v>
      </c>
      <c r="S10" s="28" t="str">
        <f t="shared" si="2"/>
        <v>H100!M476</v>
      </c>
      <c r="T10" s="28" t="str">
        <f t="shared" si="2"/>
        <v>H105!M476</v>
      </c>
    </row>
    <row r="11" spans="1:20">
      <c r="A11" s="28">
        <v>477</v>
      </c>
      <c r="B11" s="28" t="str">
        <f t="shared" si="0"/>
        <v>H15!M477</v>
      </c>
      <c r="C11" s="28" t="str">
        <f t="shared" si="0"/>
        <v>H20!M477</v>
      </c>
      <c r="D11" s="28" t="str">
        <f t="shared" si="0"/>
        <v>H25!M477</v>
      </c>
      <c r="E11" s="28" t="str">
        <f t="shared" si="0"/>
        <v>H30!M477</v>
      </c>
      <c r="F11" s="28" t="str">
        <f t="shared" si="0"/>
        <v>H35!M477</v>
      </c>
      <c r="G11" s="28" t="str">
        <f t="shared" si="0"/>
        <v>H40!M477</v>
      </c>
      <c r="H11" s="28" t="str">
        <f t="shared" si="0"/>
        <v>H45!M477</v>
      </c>
      <c r="I11" s="28" t="str">
        <f t="shared" si="2"/>
        <v>H50!M477</v>
      </c>
      <c r="J11" s="28" t="str">
        <f t="shared" si="2"/>
        <v>H55!M477</v>
      </c>
      <c r="K11" s="28" t="str">
        <f t="shared" si="2"/>
        <v>H60!M477</v>
      </c>
      <c r="L11" s="28" t="str">
        <f t="shared" si="2"/>
        <v>H65!M477</v>
      </c>
      <c r="M11" s="28" t="str">
        <f t="shared" si="2"/>
        <v>H70!M477</v>
      </c>
      <c r="N11" s="28" t="str">
        <f t="shared" si="2"/>
        <v>H75!M477</v>
      </c>
      <c r="O11" s="28" t="str">
        <f t="shared" si="2"/>
        <v>H80!M477</v>
      </c>
      <c r="P11" s="28" t="str">
        <f t="shared" si="2"/>
        <v>H85!M477</v>
      </c>
      <c r="Q11" s="28" t="str">
        <f t="shared" si="2"/>
        <v>H90!M477</v>
      </c>
      <c r="R11" s="28" t="str">
        <f t="shared" si="2"/>
        <v>H95!M477</v>
      </c>
      <c r="S11" s="28" t="str">
        <f t="shared" si="2"/>
        <v>H100!M477</v>
      </c>
      <c r="T11" s="28" t="str">
        <f t="shared" si="2"/>
        <v>H105!M477</v>
      </c>
    </row>
    <row r="12" spans="1:20">
      <c r="A12" s="28">
        <v>478</v>
      </c>
      <c r="B12" s="28" t="str">
        <f t="shared" si="0"/>
        <v>H15!M478</v>
      </c>
      <c r="C12" s="28" t="str">
        <f t="shared" si="0"/>
        <v>H20!M478</v>
      </c>
      <c r="D12" s="28" t="str">
        <f t="shared" si="0"/>
        <v>H25!M478</v>
      </c>
      <c r="E12" s="28" t="str">
        <f t="shared" si="0"/>
        <v>H30!M478</v>
      </c>
      <c r="F12" s="28" t="str">
        <f t="shared" si="0"/>
        <v>H35!M478</v>
      </c>
      <c r="G12" s="28" t="str">
        <f t="shared" si="0"/>
        <v>H40!M478</v>
      </c>
      <c r="H12" s="28" t="str">
        <f t="shared" si="0"/>
        <v>H45!M478</v>
      </c>
      <c r="I12" s="28" t="str">
        <f t="shared" si="2"/>
        <v>H50!M478</v>
      </c>
      <c r="J12" s="28" t="str">
        <f t="shared" si="2"/>
        <v>H55!M478</v>
      </c>
      <c r="K12" s="28" t="str">
        <f t="shared" si="2"/>
        <v>H60!M478</v>
      </c>
      <c r="L12" s="28" t="str">
        <f t="shared" si="2"/>
        <v>H65!M478</v>
      </c>
      <c r="M12" s="28" t="str">
        <f t="shared" si="2"/>
        <v>H70!M478</v>
      </c>
      <c r="N12" s="28" t="str">
        <f t="shared" si="2"/>
        <v>H75!M478</v>
      </c>
      <c r="O12" s="28" t="str">
        <f t="shared" si="2"/>
        <v>H80!M478</v>
      </c>
      <c r="P12" s="28" t="str">
        <f t="shared" si="2"/>
        <v>H85!M478</v>
      </c>
      <c r="Q12" s="28" t="str">
        <f t="shared" si="2"/>
        <v>H90!M478</v>
      </c>
      <c r="R12" s="28" t="str">
        <f t="shared" si="2"/>
        <v>H95!M478</v>
      </c>
      <c r="S12" s="28" t="str">
        <f t="shared" si="2"/>
        <v>H100!M478</v>
      </c>
      <c r="T12" s="28" t="str">
        <f t="shared" si="2"/>
        <v>H105!M478</v>
      </c>
    </row>
    <row r="13" spans="1:20">
      <c r="A13" s="28">
        <v>479</v>
      </c>
      <c r="B13" s="28" t="str">
        <f t="shared" si="0"/>
        <v>H15!M479</v>
      </c>
      <c r="C13" s="28" t="str">
        <f t="shared" si="0"/>
        <v>H20!M479</v>
      </c>
      <c r="D13" s="28" t="str">
        <f t="shared" si="0"/>
        <v>H25!M479</v>
      </c>
      <c r="E13" s="28" t="str">
        <f t="shared" si="0"/>
        <v>H30!M479</v>
      </c>
      <c r="F13" s="28" t="str">
        <f t="shared" si="0"/>
        <v>H35!M479</v>
      </c>
      <c r="G13" s="28" t="str">
        <f t="shared" si="0"/>
        <v>H40!M479</v>
      </c>
      <c r="H13" s="28" t="str">
        <f t="shared" si="0"/>
        <v>H45!M479</v>
      </c>
      <c r="I13" s="28" t="str">
        <f t="shared" si="2"/>
        <v>H50!M479</v>
      </c>
      <c r="J13" s="28" t="str">
        <f t="shared" si="2"/>
        <v>H55!M479</v>
      </c>
      <c r="K13" s="28" t="str">
        <f t="shared" si="2"/>
        <v>H60!M479</v>
      </c>
      <c r="L13" s="28" t="str">
        <f t="shared" si="2"/>
        <v>H65!M479</v>
      </c>
      <c r="M13" s="28" t="str">
        <f t="shared" si="2"/>
        <v>H70!M479</v>
      </c>
      <c r="N13" s="28" t="str">
        <f t="shared" si="2"/>
        <v>H75!M479</v>
      </c>
      <c r="O13" s="28" t="str">
        <f t="shared" si="2"/>
        <v>H80!M479</v>
      </c>
      <c r="P13" s="28" t="str">
        <f t="shared" si="2"/>
        <v>H85!M479</v>
      </c>
      <c r="Q13" s="28" t="str">
        <f t="shared" si="2"/>
        <v>H90!M479</v>
      </c>
      <c r="R13" s="28" t="str">
        <f t="shared" si="2"/>
        <v>H95!M479</v>
      </c>
      <c r="S13" s="28" t="str">
        <f t="shared" si="2"/>
        <v>H100!M479</v>
      </c>
      <c r="T13" s="28" t="str">
        <f t="shared" si="2"/>
        <v>H105!M479</v>
      </c>
    </row>
    <row r="14" spans="1:20">
      <c r="A14" s="28">
        <v>480</v>
      </c>
      <c r="B14" s="28" t="str">
        <f t="shared" si="0"/>
        <v>H15!M480</v>
      </c>
      <c r="C14" s="28" t="str">
        <f t="shared" si="0"/>
        <v>H20!M480</v>
      </c>
      <c r="D14" s="28" t="str">
        <f t="shared" si="0"/>
        <v>H25!M480</v>
      </c>
      <c r="E14" s="28" t="str">
        <f t="shared" si="0"/>
        <v>H30!M480</v>
      </c>
      <c r="F14" s="28" t="str">
        <f t="shared" si="0"/>
        <v>H35!M480</v>
      </c>
      <c r="G14" s="28" t="str">
        <f t="shared" si="0"/>
        <v>H40!M480</v>
      </c>
      <c r="H14" s="28" t="str">
        <f t="shared" si="0"/>
        <v>H45!M480</v>
      </c>
      <c r="I14" s="28" t="str">
        <f t="shared" si="2"/>
        <v>H50!M480</v>
      </c>
      <c r="J14" s="28" t="str">
        <f t="shared" si="2"/>
        <v>H55!M480</v>
      </c>
      <c r="K14" s="28" t="str">
        <f t="shared" si="2"/>
        <v>H60!M480</v>
      </c>
      <c r="L14" s="28" t="str">
        <f t="shared" si="2"/>
        <v>H65!M480</v>
      </c>
      <c r="M14" s="28" t="str">
        <f t="shared" si="2"/>
        <v>H70!M480</v>
      </c>
      <c r="N14" s="28" t="str">
        <f t="shared" si="2"/>
        <v>H75!M480</v>
      </c>
      <c r="O14" s="28" t="str">
        <f t="shared" si="2"/>
        <v>H80!M480</v>
      </c>
      <c r="P14" s="28" t="str">
        <f t="shared" si="2"/>
        <v>H85!M480</v>
      </c>
      <c r="Q14" s="28" t="str">
        <f t="shared" si="2"/>
        <v>H90!M480</v>
      </c>
      <c r="R14" s="28" t="str">
        <f t="shared" si="2"/>
        <v>H95!M480</v>
      </c>
      <c r="S14" s="28" t="str">
        <f t="shared" si="2"/>
        <v>H100!M480</v>
      </c>
      <c r="T14" s="28" t="str">
        <f t="shared" si="2"/>
        <v>H105!M480</v>
      </c>
    </row>
    <row r="15" spans="1:20">
      <c r="A15" s="28">
        <v>481</v>
      </c>
      <c r="B15" s="28" t="str">
        <f t="shared" si="0"/>
        <v>H15!M481</v>
      </c>
      <c r="C15" s="28" t="str">
        <f t="shared" si="0"/>
        <v>H20!M481</v>
      </c>
      <c r="D15" s="28" t="str">
        <f t="shared" si="0"/>
        <v>H25!M481</v>
      </c>
      <c r="E15" s="28" t="str">
        <f t="shared" si="0"/>
        <v>H30!M481</v>
      </c>
      <c r="F15" s="28" t="str">
        <f t="shared" si="0"/>
        <v>H35!M481</v>
      </c>
      <c r="G15" s="28" t="str">
        <f t="shared" si="0"/>
        <v>H40!M481</v>
      </c>
      <c r="H15" s="28" t="str">
        <f t="shared" si="0"/>
        <v>H45!M481</v>
      </c>
      <c r="I15" s="28" t="str">
        <f t="shared" si="2"/>
        <v>H50!M481</v>
      </c>
      <c r="J15" s="28" t="str">
        <f t="shared" si="2"/>
        <v>H55!M481</v>
      </c>
      <c r="K15" s="28" t="str">
        <f t="shared" si="2"/>
        <v>H60!M481</v>
      </c>
      <c r="L15" s="28" t="str">
        <f t="shared" si="2"/>
        <v>H65!M481</v>
      </c>
      <c r="M15" s="28" t="str">
        <f t="shared" si="2"/>
        <v>H70!M481</v>
      </c>
      <c r="N15" s="28" t="str">
        <f t="shared" si="2"/>
        <v>H75!M481</v>
      </c>
      <c r="O15" s="28" t="str">
        <f t="shared" si="2"/>
        <v>H80!M481</v>
      </c>
      <c r="P15" s="28" t="str">
        <f t="shared" si="2"/>
        <v>H85!M481</v>
      </c>
      <c r="Q15" s="28" t="str">
        <f t="shared" si="2"/>
        <v>H90!M481</v>
      </c>
      <c r="R15" s="28" t="str">
        <f t="shared" si="2"/>
        <v>H95!M481</v>
      </c>
      <c r="S15" s="28" t="str">
        <f t="shared" si="2"/>
        <v>H100!M481</v>
      </c>
      <c r="T15" s="28" t="str">
        <f t="shared" si="2"/>
        <v>H105!M481</v>
      </c>
    </row>
    <row r="17" spans="1:2">
      <c r="A17" s="27" t="s">
        <v>86</v>
      </c>
    </row>
    <row r="18" spans="1:2">
      <c r="B18" s="28" t="e">
        <f t="shared" ref="B18:B29" ca="1" si="3">INDIRECT(B4)</f>
        <v>#REF!</v>
      </c>
    </row>
    <row r="19" spans="1:2">
      <c r="B19" s="28" t="e">
        <f t="shared" ca="1" si="3"/>
        <v>#REF!</v>
      </c>
    </row>
    <row r="20" spans="1:2">
      <c r="B20" s="28" t="e">
        <f t="shared" ca="1" si="3"/>
        <v>#REF!</v>
      </c>
    </row>
    <row r="21" spans="1:2">
      <c r="B21" s="28" t="e">
        <f t="shared" ca="1" si="3"/>
        <v>#REF!</v>
      </c>
    </row>
    <row r="22" spans="1:2">
      <c r="B22" s="28" t="e">
        <f t="shared" ca="1" si="3"/>
        <v>#REF!</v>
      </c>
    </row>
    <row r="23" spans="1:2">
      <c r="B23" s="28" t="e">
        <f ca="1">INDIRECT(B9)</f>
        <v>#REF!</v>
      </c>
    </row>
    <row r="24" spans="1:2">
      <c r="B24" s="28" t="e">
        <f t="shared" ca="1" si="3"/>
        <v>#REF!</v>
      </c>
    </row>
    <row r="25" spans="1:2">
      <c r="B25" s="28" t="e">
        <f t="shared" ca="1" si="3"/>
        <v>#REF!</v>
      </c>
    </row>
    <row r="26" spans="1:2">
      <c r="B26" s="28" t="e">
        <f t="shared" ca="1" si="3"/>
        <v>#REF!</v>
      </c>
    </row>
    <row r="27" spans="1:2">
      <c r="B27" s="28" t="e">
        <f t="shared" ca="1" si="3"/>
        <v>#REF!</v>
      </c>
    </row>
    <row r="28" spans="1:2">
      <c r="B28" s="28" t="e">
        <f t="shared" ca="1" si="3"/>
        <v>#REF!</v>
      </c>
    </row>
    <row r="29" spans="1:2">
      <c r="B29" s="28" t="e">
        <f t="shared" ca="1" si="3"/>
        <v>#REF!</v>
      </c>
    </row>
    <row r="30" spans="1:2">
      <c r="B30" s="28" t="e">
        <f t="shared" ref="B30:B41" ca="1" si="4">INDIRECT(C4)</f>
        <v>#REF!</v>
      </c>
    </row>
    <row r="31" spans="1:2">
      <c r="B31" s="28" t="e">
        <f t="shared" ca="1" si="4"/>
        <v>#REF!</v>
      </c>
    </row>
    <row r="32" spans="1:2">
      <c r="B32" s="28" t="e">
        <f t="shared" ca="1" si="4"/>
        <v>#REF!</v>
      </c>
    </row>
    <row r="33" spans="2:2">
      <c r="B33" s="28" t="e">
        <f t="shared" ca="1" si="4"/>
        <v>#REF!</v>
      </c>
    </row>
    <row r="34" spans="2:2">
      <c r="B34" s="28" t="e">
        <f t="shared" ca="1" si="4"/>
        <v>#REF!</v>
      </c>
    </row>
    <row r="35" spans="2:2">
      <c r="B35" s="28" t="e">
        <f t="shared" ca="1" si="4"/>
        <v>#REF!</v>
      </c>
    </row>
    <row r="36" spans="2:2">
      <c r="B36" s="28" t="e">
        <f t="shared" ca="1" si="4"/>
        <v>#REF!</v>
      </c>
    </row>
    <row r="37" spans="2:2">
      <c r="B37" s="28" t="e">
        <f t="shared" ca="1" si="4"/>
        <v>#REF!</v>
      </c>
    </row>
    <row r="38" spans="2:2">
      <c r="B38" s="28" t="e">
        <f t="shared" ca="1" si="4"/>
        <v>#REF!</v>
      </c>
    </row>
    <row r="39" spans="2:2">
      <c r="B39" s="28" t="e">
        <f t="shared" ca="1" si="4"/>
        <v>#REF!</v>
      </c>
    </row>
    <row r="40" spans="2:2">
      <c r="B40" s="28" t="e">
        <f t="shared" ca="1" si="4"/>
        <v>#REF!</v>
      </c>
    </row>
    <row r="41" spans="2:2">
      <c r="B41" s="28" t="e">
        <f t="shared" ca="1" si="4"/>
        <v>#REF!</v>
      </c>
    </row>
    <row r="42" spans="2:2">
      <c r="B42" s="28" t="e">
        <f t="shared" ref="B42:B53" ca="1" si="5">INDIRECT(D4)</f>
        <v>#REF!</v>
      </c>
    </row>
    <row r="43" spans="2:2">
      <c r="B43" s="28" t="e">
        <f t="shared" ca="1" si="5"/>
        <v>#REF!</v>
      </c>
    </row>
    <row r="44" spans="2:2">
      <c r="B44" s="28" t="e">
        <f t="shared" ca="1" si="5"/>
        <v>#REF!</v>
      </c>
    </row>
    <row r="45" spans="2:2">
      <c r="B45" s="28" t="e">
        <f t="shared" ca="1" si="5"/>
        <v>#REF!</v>
      </c>
    </row>
    <row r="46" spans="2:2">
      <c r="B46" s="28" t="e">
        <f t="shared" ca="1" si="5"/>
        <v>#REF!</v>
      </c>
    </row>
    <row r="47" spans="2:2">
      <c r="B47" s="28" t="e">
        <f t="shared" ca="1" si="5"/>
        <v>#REF!</v>
      </c>
    </row>
    <row r="48" spans="2:2">
      <c r="B48" s="28" t="e">
        <f t="shared" ca="1" si="5"/>
        <v>#REF!</v>
      </c>
    </row>
    <row r="49" spans="2:2">
      <c r="B49" s="28" t="e">
        <f t="shared" ca="1" si="5"/>
        <v>#REF!</v>
      </c>
    </row>
    <row r="50" spans="2:2">
      <c r="B50" s="28" t="e">
        <f t="shared" ca="1" si="5"/>
        <v>#REF!</v>
      </c>
    </row>
    <row r="51" spans="2:2">
      <c r="B51" s="28" t="e">
        <f t="shared" ca="1" si="5"/>
        <v>#REF!</v>
      </c>
    </row>
    <row r="52" spans="2:2">
      <c r="B52" s="28" t="e">
        <f t="shared" ca="1" si="5"/>
        <v>#REF!</v>
      </c>
    </row>
    <row r="53" spans="2:2">
      <c r="B53" s="28" t="e">
        <f t="shared" ca="1" si="5"/>
        <v>#REF!</v>
      </c>
    </row>
    <row r="54" spans="2:2">
      <c r="B54" s="28" t="e">
        <f t="shared" ref="B54:B65" ca="1" si="6">INDIRECT(E4)</f>
        <v>#REF!</v>
      </c>
    </row>
    <row r="55" spans="2:2">
      <c r="B55" s="28" t="e">
        <f t="shared" ca="1" si="6"/>
        <v>#REF!</v>
      </c>
    </row>
    <row r="56" spans="2:2">
      <c r="B56" s="28" t="e">
        <f t="shared" ca="1" si="6"/>
        <v>#REF!</v>
      </c>
    </row>
    <row r="57" spans="2:2">
      <c r="B57" s="28" t="e">
        <f t="shared" ca="1" si="6"/>
        <v>#REF!</v>
      </c>
    </row>
    <row r="58" spans="2:2">
      <c r="B58" s="28" t="e">
        <f t="shared" ca="1" si="6"/>
        <v>#REF!</v>
      </c>
    </row>
    <row r="59" spans="2:2">
      <c r="B59" s="28" t="e">
        <f t="shared" ca="1" si="6"/>
        <v>#REF!</v>
      </c>
    </row>
    <row r="60" spans="2:2">
      <c r="B60" s="28" t="e">
        <f t="shared" ca="1" si="6"/>
        <v>#REF!</v>
      </c>
    </row>
    <row r="61" spans="2:2">
      <c r="B61" s="28" t="e">
        <f t="shared" ca="1" si="6"/>
        <v>#REF!</v>
      </c>
    </row>
    <row r="62" spans="2:2">
      <c r="B62" s="28" t="e">
        <f t="shared" ca="1" si="6"/>
        <v>#REF!</v>
      </c>
    </row>
    <row r="63" spans="2:2">
      <c r="B63" s="28" t="e">
        <f t="shared" ca="1" si="6"/>
        <v>#REF!</v>
      </c>
    </row>
    <row r="64" spans="2:2">
      <c r="B64" s="28" t="e">
        <f t="shared" ca="1" si="6"/>
        <v>#REF!</v>
      </c>
    </row>
    <row r="65" spans="2:2">
      <c r="B65" s="28" t="e">
        <f t="shared" ca="1" si="6"/>
        <v>#REF!</v>
      </c>
    </row>
    <row r="66" spans="2:2">
      <c r="B66" s="28" t="e">
        <f t="shared" ref="B66:B77" ca="1" si="7">INDIRECT(F4)</f>
        <v>#REF!</v>
      </c>
    </row>
    <row r="67" spans="2:2">
      <c r="B67" s="28" t="e">
        <f t="shared" ca="1" si="7"/>
        <v>#REF!</v>
      </c>
    </row>
    <row r="68" spans="2:2">
      <c r="B68" s="28" t="e">
        <f t="shared" ca="1" si="7"/>
        <v>#REF!</v>
      </c>
    </row>
    <row r="69" spans="2:2">
      <c r="B69" s="28" t="e">
        <f t="shared" ca="1" si="7"/>
        <v>#REF!</v>
      </c>
    </row>
    <row r="70" spans="2:2">
      <c r="B70" s="28" t="e">
        <f t="shared" ca="1" si="7"/>
        <v>#REF!</v>
      </c>
    </row>
    <row r="71" spans="2:2">
      <c r="B71" s="28" t="e">
        <f t="shared" ca="1" si="7"/>
        <v>#REF!</v>
      </c>
    </row>
    <row r="72" spans="2:2">
      <c r="B72" s="28" t="e">
        <f t="shared" ca="1" si="7"/>
        <v>#REF!</v>
      </c>
    </row>
    <row r="73" spans="2:2">
      <c r="B73" s="28" t="e">
        <f t="shared" ca="1" si="7"/>
        <v>#REF!</v>
      </c>
    </row>
    <row r="74" spans="2:2">
      <c r="B74" s="28" t="e">
        <f t="shared" ca="1" si="7"/>
        <v>#REF!</v>
      </c>
    </row>
    <row r="75" spans="2:2">
      <c r="B75" s="28" t="e">
        <f t="shared" ca="1" si="7"/>
        <v>#REF!</v>
      </c>
    </row>
    <row r="76" spans="2:2">
      <c r="B76" s="28" t="e">
        <f t="shared" ca="1" si="7"/>
        <v>#REF!</v>
      </c>
    </row>
    <row r="77" spans="2:2">
      <c r="B77" s="28" t="e">
        <f t="shared" ca="1" si="7"/>
        <v>#REF!</v>
      </c>
    </row>
    <row r="78" spans="2:2">
      <c r="B78" s="28" t="e">
        <f t="shared" ref="B78:B89" ca="1" si="8">INDIRECT(G4)</f>
        <v>#REF!</v>
      </c>
    </row>
    <row r="79" spans="2:2">
      <c r="B79" s="28" t="e">
        <f t="shared" ca="1" si="8"/>
        <v>#REF!</v>
      </c>
    </row>
    <row r="80" spans="2:2">
      <c r="B80" s="28" t="e">
        <f t="shared" ca="1" si="8"/>
        <v>#REF!</v>
      </c>
    </row>
    <row r="81" spans="2:2">
      <c r="B81" s="28" t="e">
        <f t="shared" ca="1" si="8"/>
        <v>#REF!</v>
      </c>
    </row>
    <row r="82" spans="2:2">
      <c r="B82" s="28" t="e">
        <f t="shared" ca="1" si="8"/>
        <v>#REF!</v>
      </c>
    </row>
    <row r="83" spans="2:2">
      <c r="B83" s="28" t="e">
        <f t="shared" ca="1" si="8"/>
        <v>#REF!</v>
      </c>
    </row>
    <row r="84" spans="2:2">
      <c r="B84" s="28" t="e">
        <f t="shared" ca="1" si="8"/>
        <v>#REF!</v>
      </c>
    </row>
    <row r="85" spans="2:2">
      <c r="B85" s="28" t="e">
        <f t="shared" ca="1" si="8"/>
        <v>#REF!</v>
      </c>
    </row>
    <row r="86" spans="2:2">
      <c r="B86" s="28" t="e">
        <f t="shared" ca="1" si="8"/>
        <v>#REF!</v>
      </c>
    </row>
    <row r="87" spans="2:2">
      <c r="B87" s="28" t="e">
        <f t="shared" ca="1" si="8"/>
        <v>#REF!</v>
      </c>
    </row>
    <row r="88" spans="2:2">
      <c r="B88" s="28" t="e">
        <f t="shared" ca="1" si="8"/>
        <v>#REF!</v>
      </c>
    </row>
    <row r="89" spans="2:2">
      <c r="B89" s="28" t="e">
        <f t="shared" ca="1" si="8"/>
        <v>#REF!</v>
      </c>
    </row>
    <row r="90" spans="2:2">
      <c r="B90" s="28" t="e">
        <f t="shared" ref="B90:B101" ca="1" si="9">INDIRECT(H4)</f>
        <v>#REF!</v>
      </c>
    </row>
    <row r="91" spans="2:2">
      <c r="B91" s="28" t="e">
        <f t="shared" ca="1" si="9"/>
        <v>#REF!</v>
      </c>
    </row>
    <row r="92" spans="2:2">
      <c r="B92" s="28" t="e">
        <f t="shared" ca="1" si="9"/>
        <v>#REF!</v>
      </c>
    </row>
    <row r="93" spans="2:2">
      <c r="B93" s="28" t="e">
        <f t="shared" ca="1" si="9"/>
        <v>#REF!</v>
      </c>
    </row>
    <row r="94" spans="2:2">
      <c r="B94" s="28" t="e">
        <f t="shared" ca="1" si="9"/>
        <v>#REF!</v>
      </c>
    </row>
    <row r="95" spans="2:2">
      <c r="B95" s="28" t="e">
        <f t="shared" ca="1" si="9"/>
        <v>#REF!</v>
      </c>
    </row>
    <row r="96" spans="2:2">
      <c r="B96" s="28" t="e">
        <f t="shared" ca="1" si="9"/>
        <v>#REF!</v>
      </c>
    </row>
    <row r="97" spans="2:2">
      <c r="B97" s="28" t="e">
        <f t="shared" ca="1" si="9"/>
        <v>#REF!</v>
      </c>
    </row>
    <row r="98" spans="2:2">
      <c r="B98" s="28" t="e">
        <f t="shared" ca="1" si="9"/>
        <v>#REF!</v>
      </c>
    </row>
    <row r="99" spans="2:2">
      <c r="B99" s="28" t="e">
        <f t="shared" ca="1" si="9"/>
        <v>#REF!</v>
      </c>
    </row>
    <row r="100" spans="2:2">
      <c r="B100" s="28" t="e">
        <f t="shared" ca="1" si="9"/>
        <v>#REF!</v>
      </c>
    </row>
    <row r="101" spans="2:2">
      <c r="B101" s="28" t="e">
        <f t="shared" ca="1" si="9"/>
        <v>#REF!</v>
      </c>
    </row>
    <row r="102" spans="2:2">
      <c r="B102" s="28" t="e">
        <f t="shared" ref="B102:B113" ca="1" si="10">INDIRECT(I4)</f>
        <v>#REF!</v>
      </c>
    </row>
    <row r="103" spans="2:2">
      <c r="B103" s="28" t="e">
        <f t="shared" ca="1" si="10"/>
        <v>#REF!</v>
      </c>
    </row>
    <row r="104" spans="2:2">
      <c r="B104" s="28" t="e">
        <f t="shared" ca="1" si="10"/>
        <v>#REF!</v>
      </c>
    </row>
    <row r="105" spans="2:2">
      <c r="B105" s="28" t="e">
        <f t="shared" ca="1" si="10"/>
        <v>#REF!</v>
      </c>
    </row>
    <row r="106" spans="2:2">
      <c r="B106" s="28" t="e">
        <f t="shared" ca="1" si="10"/>
        <v>#REF!</v>
      </c>
    </row>
    <row r="107" spans="2:2">
      <c r="B107" s="28" t="e">
        <f t="shared" ca="1" si="10"/>
        <v>#REF!</v>
      </c>
    </row>
    <row r="108" spans="2:2">
      <c r="B108" s="28" t="e">
        <f t="shared" ca="1" si="10"/>
        <v>#REF!</v>
      </c>
    </row>
    <row r="109" spans="2:2">
      <c r="B109" s="28" t="e">
        <f t="shared" ca="1" si="10"/>
        <v>#REF!</v>
      </c>
    </row>
    <row r="110" spans="2:2">
      <c r="B110" s="28" t="e">
        <f t="shared" ca="1" si="10"/>
        <v>#REF!</v>
      </c>
    </row>
    <row r="111" spans="2:2">
      <c r="B111" s="28" t="e">
        <f t="shared" ca="1" si="10"/>
        <v>#REF!</v>
      </c>
    </row>
    <row r="112" spans="2:2">
      <c r="B112" s="28" t="e">
        <f t="shared" ca="1" si="10"/>
        <v>#REF!</v>
      </c>
    </row>
    <row r="113" spans="2:2">
      <c r="B113" s="28" t="e">
        <f t="shared" ca="1" si="10"/>
        <v>#REF!</v>
      </c>
    </row>
    <row r="114" spans="2:2">
      <c r="B114" s="28">
        <f t="shared" ref="B114:B125" ca="1" si="11">INDIRECT(J4)</f>
        <v>0</v>
      </c>
    </row>
    <row r="115" spans="2:2">
      <c r="B115" s="28">
        <f t="shared" ca="1" si="11"/>
        <v>0</v>
      </c>
    </row>
    <row r="116" spans="2:2">
      <c r="B116" s="28">
        <f t="shared" ca="1" si="11"/>
        <v>0</v>
      </c>
    </row>
    <row r="117" spans="2:2">
      <c r="B117" s="28">
        <f t="shared" ca="1" si="11"/>
        <v>0</v>
      </c>
    </row>
    <row r="118" spans="2:2">
      <c r="B118" s="28">
        <f t="shared" ca="1" si="11"/>
        <v>0</v>
      </c>
    </row>
    <row r="119" spans="2:2">
      <c r="B119" s="28">
        <f t="shared" ca="1" si="11"/>
        <v>0</v>
      </c>
    </row>
    <row r="120" spans="2:2">
      <c r="B120" s="28">
        <f t="shared" ca="1" si="11"/>
        <v>0</v>
      </c>
    </row>
    <row r="121" spans="2:2">
      <c r="B121" s="28">
        <f t="shared" ca="1" si="11"/>
        <v>0</v>
      </c>
    </row>
    <row r="122" spans="2:2">
      <c r="B122" s="28">
        <f t="shared" ca="1" si="11"/>
        <v>0</v>
      </c>
    </row>
    <row r="123" spans="2:2">
      <c r="B123" s="28">
        <f t="shared" ca="1" si="11"/>
        <v>0</v>
      </c>
    </row>
    <row r="124" spans="2:2">
      <c r="B124" s="28">
        <f t="shared" ca="1" si="11"/>
        <v>0</v>
      </c>
    </row>
    <row r="125" spans="2:2">
      <c r="B125" s="28">
        <f t="shared" ca="1" si="11"/>
        <v>0</v>
      </c>
    </row>
    <row r="126" spans="2:2">
      <c r="B126" s="28" t="e">
        <f t="shared" ref="B126:B137" ca="1" si="12">INDIRECT(K4)</f>
        <v>#REF!</v>
      </c>
    </row>
    <row r="127" spans="2:2">
      <c r="B127" s="28" t="e">
        <f t="shared" ca="1" si="12"/>
        <v>#REF!</v>
      </c>
    </row>
    <row r="128" spans="2:2">
      <c r="B128" s="28" t="e">
        <f t="shared" ca="1" si="12"/>
        <v>#REF!</v>
      </c>
    </row>
    <row r="129" spans="2:2">
      <c r="B129" s="28" t="e">
        <f t="shared" ca="1" si="12"/>
        <v>#REF!</v>
      </c>
    </row>
    <row r="130" spans="2:2">
      <c r="B130" s="28" t="e">
        <f t="shared" ca="1" si="12"/>
        <v>#REF!</v>
      </c>
    </row>
    <row r="131" spans="2:2">
      <c r="B131" s="28" t="e">
        <f t="shared" ca="1" si="12"/>
        <v>#REF!</v>
      </c>
    </row>
    <row r="132" spans="2:2">
      <c r="B132" s="28" t="e">
        <f t="shared" ca="1" si="12"/>
        <v>#REF!</v>
      </c>
    </row>
    <row r="133" spans="2:2">
      <c r="B133" s="28" t="e">
        <f t="shared" ca="1" si="12"/>
        <v>#REF!</v>
      </c>
    </row>
    <row r="134" spans="2:2">
      <c r="B134" s="28" t="e">
        <f t="shared" ca="1" si="12"/>
        <v>#REF!</v>
      </c>
    </row>
    <row r="135" spans="2:2">
      <c r="B135" s="28" t="e">
        <f t="shared" ca="1" si="12"/>
        <v>#REF!</v>
      </c>
    </row>
    <row r="136" spans="2:2">
      <c r="B136" s="28" t="e">
        <f t="shared" ca="1" si="12"/>
        <v>#REF!</v>
      </c>
    </row>
    <row r="137" spans="2:2">
      <c r="B137" s="28" t="e">
        <f t="shared" ca="1" si="12"/>
        <v>#REF!</v>
      </c>
    </row>
    <row r="138" spans="2:2">
      <c r="B138" s="28" t="e">
        <f t="shared" ref="B138:B149" ca="1" si="13">INDIRECT(L4)</f>
        <v>#REF!</v>
      </c>
    </row>
    <row r="139" spans="2:2">
      <c r="B139" s="28" t="e">
        <f t="shared" ca="1" si="13"/>
        <v>#REF!</v>
      </c>
    </row>
    <row r="140" spans="2:2">
      <c r="B140" s="28" t="e">
        <f t="shared" ca="1" si="13"/>
        <v>#REF!</v>
      </c>
    </row>
    <row r="141" spans="2:2">
      <c r="B141" s="28" t="e">
        <f t="shared" ca="1" si="13"/>
        <v>#REF!</v>
      </c>
    </row>
    <row r="142" spans="2:2">
      <c r="B142" s="28" t="e">
        <f t="shared" ca="1" si="13"/>
        <v>#REF!</v>
      </c>
    </row>
    <row r="143" spans="2:2">
      <c r="B143" s="28" t="e">
        <f t="shared" ca="1" si="13"/>
        <v>#REF!</v>
      </c>
    </row>
    <row r="144" spans="2:2">
      <c r="B144" s="28" t="e">
        <f t="shared" ca="1" si="13"/>
        <v>#REF!</v>
      </c>
    </row>
    <row r="145" spans="2:2">
      <c r="B145" s="28" t="e">
        <f t="shared" ca="1" si="13"/>
        <v>#REF!</v>
      </c>
    </row>
    <row r="146" spans="2:2">
      <c r="B146" s="28" t="e">
        <f t="shared" ca="1" si="13"/>
        <v>#REF!</v>
      </c>
    </row>
    <row r="147" spans="2:2">
      <c r="B147" s="28" t="e">
        <f t="shared" ca="1" si="13"/>
        <v>#REF!</v>
      </c>
    </row>
    <row r="148" spans="2:2">
      <c r="B148" s="28" t="e">
        <f t="shared" ca="1" si="13"/>
        <v>#REF!</v>
      </c>
    </row>
    <row r="149" spans="2:2">
      <c r="B149" s="28" t="e">
        <f t="shared" ca="1" si="13"/>
        <v>#REF!</v>
      </c>
    </row>
    <row r="150" spans="2:2">
      <c r="B150" s="28" t="e">
        <f t="shared" ref="B150:B161" ca="1" si="14">INDIRECT(M4)</f>
        <v>#REF!</v>
      </c>
    </row>
    <row r="151" spans="2:2">
      <c r="B151" s="28" t="e">
        <f t="shared" ca="1" si="14"/>
        <v>#REF!</v>
      </c>
    </row>
    <row r="152" spans="2:2">
      <c r="B152" s="28" t="e">
        <f t="shared" ca="1" si="14"/>
        <v>#REF!</v>
      </c>
    </row>
    <row r="153" spans="2:2">
      <c r="B153" s="28" t="e">
        <f t="shared" ca="1" si="14"/>
        <v>#REF!</v>
      </c>
    </row>
    <row r="154" spans="2:2">
      <c r="B154" s="28" t="e">
        <f t="shared" ca="1" si="14"/>
        <v>#REF!</v>
      </c>
    </row>
    <row r="155" spans="2:2">
      <c r="B155" s="28" t="e">
        <f t="shared" ca="1" si="14"/>
        <v>#REF!</v>
      </c>
    </row>
    <row r="156" spans="2:2">
      <c r="B156" s="28" t="e">
        <f t="shared" ca="1" si="14"/>
        <v>#REF!</v>
      </c>
    </row>
    <row r="157" spans="2:2">
      <c r="B157" s="28" t="e">
        <f t="shared" ca="1" si="14"/>
        <v>#REF!</v>
      </c>
    </row>
    <row r="158" spans="2:2">
      <c r="B158" s="28" t="e">
        <f t="shared" ca="1" si="14"/>
        <v>#REF!</v>
      </c>
    </row>
    <row r="159" spans="2:2">
      <c r="B159" s="28" t="e">
        <f t="shared" ca="1" si="14"/>
        <v>#REF!</v>
      </c>
    </row>
    <row r="160" spans="2:2">
      <c r="B160" s="28" t="e">
        <f t="shared" ca="1" si="14"/>
        <v>#REF!</v>
      </c>
    </row>
    <row r="161" spans="2:2">
      <c r="B161" s="28" t="e">
        <f t="shared" ca="1" si="14"/>
        <v>#REF!</v>
      </c>
    </row>
    <row r="162" spans="2:2">
      <c r="B162" s="28" t="e">
        <f t="shared" ref="B162:B173" ca="1" si="15">INDIRECT(N4)</f>
        <v>#REF!</v>
      </c>
    </row>
    <row r="163" spans="2:2">
      <c r="B163" s="28" t="e">
        <f t="shared" ca="1" si="15"/>
        <v>#REF!</v>
      </c>
    </row>
    <row r="164" spans="2:2">
      <c r="B164" s="28" t="e">
        <f t="shared" ca="1" si="15"/>
        <v>#REF!</v>
      </c>
    </row>
    <row r="165" spans="2:2">
      <c r="B165" s="28" t="e">
        <f t="shared" ca="1" si="15"/>
        <v>#REF!</v>
      </c>
    </row>
    <row r="166" spans="2:2">
      <c r="B166" s="28" t="e">
        <f t="shared" ca="1" si="15"/>
        <v>#REF!</v>
      </c>
    </row>
    <row r="167" spans="2:2">
      <c r="B167" s="28" t="e">
        <f t="shared" ca="1" si="15"/>
        <v>#REF!</v>
      </c>
    </row>
    <row r="168" spans="2:2">
      <c r="B168" s="28" t="e">
        <f t="shared" ca="1" si="15"/>
        <v>#REF!</v>
      </c>
    </row>
    <row r="169" spans="2:2">
      <c r="B169" s="28" t="e">
        <f t="shared" ca="1" si="15"/>
        <v>#REF!</v>
      </c>
    </row>
    <row r="170" spans="2:2">
      <c r="B170" s="28" t="e">
        <f t="shared" ca="1" si="15"/>
        <v>#REF!</v>
      </c>
    </row>
    <row r="171" spans="2:2">
      <c r="B171" s="28" t="e">
        <f t="shared" ca="1" si="15"/>
        <v>#REF!</v>
      </c>
    </row>
    <row r="172" spans="2:2">
      <c r="B172" s="28" t="e">
        <f t="shared" ca="1" si="15"/>
        <v>#REF!</v>
      </c>
    </row>
    <row r="173" spans="2:2">
      <c r="B173" s="28" t="e">
        <f t="shared" ca="1" si="15"/>
        <v>#REF!</v>
      </c>
    </row>
    <row r="174" spans="2:2">
      <c r="B174" s="28" t="e">
        <f t="shared" ref="B174:B185" ca="1" si="16">INDIRECT(O4)</f>
        <v>#REF!</v>
      </c>
    </row>
    <row r="175" spans="2:2">
      <c r="B175" s="28" t="e">
        <f t="shared" ca="1" si="16"/>
        <v>#REF!</v>
      </c>
    </row>
    <row r="176" spans="2:2">
      <c r="B176" s="28" t="e">
        <f t="shared" ca="1" si="16"/>
        <v>#REF!</v>
      </c>
    </row>
    <row r="177" spans="2:2">
      <c r="B177" s="28" t="e">
        <f t="shared" ca="1" si="16"/>
        <v>#REF!</v>
      </c>
    </row>
    <row r="178" spans="2:2">
      <c r="B178" s="28" t="e">
        <f t="shared" ca="1" si="16"/>
        <v>#REF!</v>
      </c>
    </row>
    <row r="179" spans="2:2">
      <c r="B179" s="28" t="e">
        <f t="shared" ca="1" si="16"/>
        <v>#REF!</v>
      </c>
    </row>
    <row r="180" spans="2:2">
      <c r="B180" s="28" t="e">
        <f t="shared" ca="1" si="16"/>
        <v>#REF!</v>
      </c>
    </row>
    <row r="181" spans="2:2">
      <c r="B181" s="28" t="e">
        <f t="shared" ca="1" si="16"/>
        <v>#REF!</v>
      </c>
    </row>
    <row r="182" spans="2:2">
      <c r="B182" s="28" t="e">
        <f t="shared" ca="1" si="16"/>
        <v>#REF!</v>
      </c>
    </row>
    <row r="183" spans="2:2">
      <c r="B183" s="28" t="e">
        <f t="shared" ca="1" si="16"/>
        <v>#REF!</v>
      </c>
    </row>
    <row r="184" spans="2:2">
      <c r="B184" s="28" t="e">
        <f t="shared" ca="1" si="16"/>
        <v>#REF!</v>
      </c>
    </row>
    <row r="185" spans="2:2">
      <c r="B185" s="28" t="e">
        <f t="shared" ca="1" si="16"/>
        <v>#REF!</v>
      </c>
    </row>
    <row r="186" spans="2:2">
      <c r="B186" s="28" t="e">
        <f t="shared" ref="B186:B197" ca="1" si="17">INDIRECT(P4)</f>
        <v>#REF!</v>
      </c>
    </row>
    <row r="187" spans="2:2">
      <c r="B187" s="28" t="e">
        <f t="shared" ca="1" si="17"/>
        <v>#REF!</v>
      </c>
    </row>
    <row r="188" spans="2:2">
      <c r="B188" s="28" t="e">
        <f t="shared" ca="1" si="17"/>
        <v>#REF!</v>
      </c>
    </row>
    <row r="189" spans="2:2">
      <c r="B189" s="28" t="e">
        <f t="shared" ca="1" si="17"/>
        <v>#REF!</v>
      </c>
    </row>
    <row r="190" spans="2:2">
      <c r="B190" s="28" t="e">
        <f t="shared" ca="1" si="17"/>
        <v>#REF!</v>
      </c>
    </row>
    <row r="191" spans="2:2">
      <c r="B191" s="28" t="e">
        <f t="shared" ca="1" si="17"/>
        <v>#REF!</v>
      </c>
    </row>
    <row r="192" spans="2:2">
      <c r="B192" s="28" t="e">
        <f t="shared" ca="1" si="17"/>
        <v>#REF!</v>
      </c>
    </row>
    <row r="193" spans="2:2">
      <c r="B193" s="28" t="e">
        <f t="shared" ca="1" si="17"/>
        <v>#REF!</v>
      </c>
    </row>
    <row r="194" spans="2:2">
      <c r="B194" s="28" t="e">
        <f t="shared" ca="1" si="17"/>
        <v>#REF!</v>
      </c>
    </row>
    <row r="195" spans="2:2">
      <c r="B195" s="28" t="e">
        <f t="shared" ca="1" si="17"/>
        <v>#REF!</v>
      </c>
    </row>
    <row r="196" spans="2:2">
      <c r="B196" s="28" t="e">
        <f t="shared" ca="1" si="17"/>
        <v>#REF!</v>
      </c>
    </row>
    <row r="197" spans="2:2">
      <c r="B197" s="28" t="e">
        <f t="shared" ca="1" si="17"/>
        <v>#REF!</v>
      </c>
    </row>
    <row r="198" spans="2:2">
      <c r="B198" s="28" t="e">
        <f t="shared" ref="B198:B209" ca="1" si="18">INDIRECT(Q4)</f>
        <v>#REF!</v>
      </c>
    </row>
    <row r="199" spans="2:2">
      <c r="B199" s="28" t="e">
        <f t="shared" ca="1" si="18"/>
        <v>#REF!</v>
      </c>
    </row>
    <row r="200" spans="2:2">
      <c r="B200" s="28" t="e">
        <f t="shared" ca="1" si="18"/>
        <v>#REF!</v>
      </c>
    </row>
    <row r="201" spans="2:2">
      <c r="B201" s="28" t="e">
        <f t="shared" ca="1" si="18"/>
        <v>#REF!</v>
      </c>
    </row>
    <row r="202" spans="2:2">
      <c r="B202" s="28" t="e">
        <f t="shared" ca="1" si="18"/>
        <v>#REF!</v>
      </c>
    </row>
    <row r="203" spans="2:2">
      <c r="B203" s="28" t="e">
        <f t="shared" ca="1" si="18"/>
        <v>#REF!</v>
      </c>
    </row>
    <row r="204" spans="2:2">
      <c r="B204" s="28" t="e">
        <f t="shared" ca="1" si="18"/>
        <v>#REF!</v>
      </c>
    </row>
    <row r="205" spans="2:2">
      <c r="B205" s="28" t="e">
        <f t="shared" ca="1" si="18"/>
        <v>#REF!</v>
      </c>
    </row>
    <row r="206" spans="2:2">
      <c r="B206" s="28" t="e">
        <f t="shared" ca="1" si="18"/>
        <v>#REF!</v>
      </c>
    </row>
    <row r="207" spans="2:2">
      <c r="B207" s="28" t="e">
        <f t="shared" ca="1" si="18"/>
        <v>#REF!</v>
      </c>
    </row>
    <row r="208" spans="2:2">
      <c r="B208" s="28" t="e">
        <f t="shared" ca="1" si="18"/>
        <v>#REF!</v>
      </c>
    </row>
    <row r="209" spans="2:2">
      <c r="B209" s="28" t="e">
        <f t="shared" ca="1" si="18"/>
        <v>#REF!</v>
      </c>
    </row>
    <row r="210" spans="2:2">
      <c r="B210" s="28" t="e">
        <f t="shared" ref="B210:B221" ca="1" si="19">INDIRECT(R4)</f>
        <v>#REF!</v>
      </c>
    </row>
    <row r="211" spans="2:2">
      <c r="B211" s="28" t="e">
        <f t="shared" ca="1" si="19"/>
        <v>#REF!</v>
      </c>
    </row>
    <row r="212" spans="2:2">
      <c r="B212" s="28" t="e">
        <f t="shared" ca="1" si="19"/>
        <v>#REF!</v>
      </c>
    </row>
    <row r="213" spans="2:2">
      <c r="B213" s="28" t="e">
        <f t="shared" ca="1" si="19"/>
        <v>#REF!</v>
      </c>
    </row>
    <row r="214" spans="2:2">
      <c r="B214" s="28" t="e">
        <f t="shared" ca="1" si="19"/>
        <v>#REF!</v>
      </c>
    </row>
    <row r="215" spans="2:2">
      <c r="B215" s="28" t="e">
        <f t="shared" ca="1" si="19"/>
        <v>#REF!</v>
      </c>
    </row>
    <row r="216" spans="2:2">
      <c r="B216" s="28" t="e">
        <f t="shared" ca="1" si="19"/>
        <v>#REF!</v>
      </c>
    </row>
    <row r="217" spans="2:2">
      <c r="B217" s="28" t="e">
        <f t="shared" ca="1" si="19"/>
        <v>#REF!</v>
      </c>
    </row>
    <row r="218" spans="2:2">
      <c r="B218" s="28" t="e">
        <f t="shared" ca="1" si="19"/>
        <v>#REF!</v>
      </c>
    </row>
    <row r="219" spans="2:2">
      <c r="B219" s="28" t="e">
        <f t="shared" ca="1" si="19"/>
        <v>#REF!</v>
      </c>
    </row>
    <row r="220" spans="2:2">
      <c r="B220" s="28" t="e">
        <f t="shared" ca="1" si="19"/>
        <v>#REF!</v>
      </c>
    </row>
    <row r="221" spans="2:2">
      <c r="B221" s="28" t="e">
        <f t="shared" ca="1" si="19"/>
        <v>#REF!</v>
      </c>
    </row>
    <row r="222" spans="2:2">
      <c r="B222" s="28" t="e">
        <f t="shared" ref="B222:B233" ca="1" si="20">INDIRECT(S4)</f>
        <v>#REF!</v>
      </c>
    </row>
    <row r="223" spans="2:2">
      <c r="B223" s="28" t="e">
        <f t="shared" ca="1" si="20"/>
        <v>#REF!</v>
      </c>
    </row>
    <row r="224" spans="2:2">
      <c r="B224" s="28" t="e">
        <f t="shared" ca="1" si="20"/>
        <v>#REF!</v>
      </c>
    </row>
    <row r="225" spans="2:2">
      <c r="B225" s="28" t="e">
        <f t="shared" ca="1" si="20"/>
        <v>#REF!</v>
      </c>
    </row>
    <row r="226" spans="2:2">
      <c r="B226" s="28" t="e">
        <f t="shared" ca="1" si="20"/>
        <v>#REF!</v>
      </c>
    </row>
    <row r="227" spans="2:2">
      <c r="B227" s="28" t="e">
        <f t="shared" ca="1" si="20"/>
        <v>#REF!</v>
      </c>
    </row>
    <row r="228" spans="2:2">
      <c r="B228" s="28" t="e">
        <f t="shared" ca="1" si="20"/>
        <v>#REF!</v>
      </c>
    </row>
    <row r="229" spans="2:2">
      <c r="B229" s="28" t="e">
        <f t="shared" ca="1" si="20"/>
        <v>#REF!</v>
      </c>
    </row>
    <row r="230" spans="2:2">
      <c r="B230" s="28" t="e">
        <f t="shared" ca="1" si="20"/>
        <v>#REF!</v>
      </c>
    </row>
    <row r="231" spans="2:2">
      <c r="B231" s="28" t="e">
        <f t="shared" ca="1" si="20"/>
        <v>#REF!</v>
      </c>
    </row>
    <row r="232" spans="2:2">
      <c r="B232" s="28" t="e">
        <f t="shared" ca="1" si="20"/>
        <v>#REF!</v>
      </c>
    </row>
    <row r="233" spans="2:2">
      <c r="B233" s="28" t="e">
        <f t="shared" ca="1" si="20"/>
        <v>#REF!</v>
      </c>
    </row>
    <row r="234" spans="2:2">
      <c r="B234" s="28" t="e">
        <f t="shared" ref="B234:B245" ca="1" si="21">INDIRECT(T4)</f>
        <v>#REF!</v>
      </c>
    </row>
    <row r="235" spans="2:2">
      <c r="B235" s="28" t="e">
        <f t="shared" ca="1" si="21"/>
        <v>#REF!</v>
      </c>
    </row>
    <row r="236" spans="2:2">
      <c r="B236" s="28" t="e">
        <f t="shared" ca="1" si="21"/>
        <v>#REF!</v>
      </c>
    </row>
    <row r="237" spans="2:2">
      <c r="B237" s="28" t="e">
        <f t="shared" ca="1" si="21"/>
        <v>#REF!</v>
      </c>
    </row>
    <row r="238" spans="2:2">
      <c r="B238" s="28" t="e">
        <f t="shared" ca="1" si="21"/>
        <v>#REF!</v>
      </c>
    </row>
    <row r="239" spans="2:2">
      <c r="B239" s="28" t="e">
        <f t="shared" ca="1" si="21"/>
        <v>#REF!</v>
      </c>
    </row>
    <row r="240" spans="2:2">
      <c r="B240" s="28" t="e">
        <f t="shared" ca="1" si="21"/>
        <v>#REF!</v>
      </c>
    </row>
    <row r="241" spans="2:2">
      <c r="B241" s="28" t="e">
        <f t="shared" ca="1" si="21"/>
        <v>#REF!</v>
      </c>
    </row>
    <row r="242" spans="2:2">
      <c r="B242" s="28" t="e">
        <f t="shared" ca="1" si="21"/>
        <v>#REF!</v>
      </c>
    </row>
    <row r="243" spans="2:2">
      <c r="B243" s="28" t="e">
        <f t="shared" ca="1" si="21"/>
        <v>#REF!</v>
      </c>
    </row>
    <row r="244" spans="2:2">
      <c r="B244" s="28" t="e">
        <f t="shared" ca="1" si="21"/>
        <v>#REF!</v>
      </c>
    </row>
    <row r="245" spans="2:2">
      <c r="B245" s="28" t="e">
        <f t="shared" ca="1" si="21"/>
        <v>#REF!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6"/>
  <dimension ref="A2:AY117"/>
  <sheetViews>
    <sheetView topLeftCell="A38" zoomScale="90" zoomScaleNormal="90" workbookViewId="0">
      <selection activeCell="A54" sqref="A54"/>
    </sheetView>
  </sheetViews>
  <sheetFormatPr baseColWidth="10" defaultColWidth="5.875" defaultRowHeight="13.8"/>
  <cols>
    <col min="1" max="1" width="5.875" style="28"/>
    <col min="2" max="2" width="7.125" style="28" customWidth="1"/>
    <col min="3" max="4" width="7" style="28" customWidth="1"/>
    <col min="5" max="5" width="9" style="28" customWidth="1"/>
    <col min="6" max="6" width="8" style="28" customWidth="1"/>
    <col min="7" max="7" width="8" style="28" bestFit="1" customWidth="1"/>
    <col min="8" max="8" width="6.5" style="28" bestFit="1" customWidth="1"/>
    <col min="9" max="9" width="7.375" style="28" bestFit="1" customWidth="1"/>
    <col min="10" max="10" width="7" style="28" customWidth="1"/>
    <col min="11" max="11" width="7.875" style="28" customWidth="1"/>
    <col min="12" max="12" width="7.375" style="28" customWidth="1"/>
    <col min="13" max="13" width="8" style="28" customWidth="1"/>
    <col min="14" max="15" width="7.875" style="28" customWidth="1"/>
    <col min="16" max="16" width="8" style="28" customWidth="1"/>
    <col min="17" max="17" width="7.625" style="28" bestFit="1" customWidth="1"/>
    <col min="18" max="18" width="7.375" style="28" bestFit="1" customWidth="1"/>
    <col min="19" max="19" width="7.625" style="28" bestFit="1" customWidth="1"/>
    <col min="20" max="20" width="8.5" style="28" customWidth="1"/>
    <col min="21" max="21" width="7.5" style="28" customWidth="1"/>
    <col min="22" max="25" width="5.875" style="28"/>
    <col min="26" max="26" width="7.125" style="28" bestFit="1" customWidth="1"/>
    <col min="27" max="29" width="5.875" style="28"/>
    <col min="30" max="31" width="6" style="28" customWidth="1"/>
    <col min="32" max="32" width="5.875" style="28"/>
    <col min="33" max="33" width="6" style="28" customWidth="1"/>
    <col min="34" max="34" width="7.875" style="28" customWidth="1"/>
    <col min="35" max="36" width="5.875" style="28"/>
    <col min="37" max="37" width="7.875" style="28" customWidth="1"/>
    <col min="38" max="38" width="8.875" style="28" bestFit="1" customWidth="1"/>
    <col min="39" max="41" width="8.5" style="28" bestFit="1" customWidth="1"/>
    <col min="42" max="42" width="5.875" style="28"/>
    <col min="43" max="46" width="8.5" style="28" bestFit="1" customWidth="1"/>
    <col min="47" max="47" width="8.875" style="28" bestFit="1" customWidth="1"/>
    <col min="48" max="16384" width="5.875" style="28"/>
  </cols>
  <sheetData>
    <row r="2" spans="2:51">
      <c r="C2" s="28" t="s">
        <v>87</v>
      </c>
      <c r="D2" s="28" t="s">
        <v>88</v>
      </c>
      <c r="R2" s="89"/>
      <c r="AL2" s="106"/>
      <c r="AM2" s="106"/>
      <c r="AN2" s="106"/>
      <c r="AO2" s="106"/>
      <c r="AP2" s="106"/>
      <c r="AQ2" s="106"/>
      <c r="AR2" s="106"/>
      <c r="AS2" s="106"/>
      <c r="AT2" s="106"/>
      <c r="AU2" s="106"/>
      <c r="AV2" s="106"/>
    </row>
    <row r="3" spans="2:51" ht="14.4" thickBot="1">
      <c r="B3" s="27" t="s">
        <v>89</v>
      </c>
      <c r="N3" s="89"/>
      <c r="AL3" s="107" t="s">
        <v>189</v>
      </c>
      <c r="AM3" s="108"/>
      <c r="AN3" s="108"/>
      <c r="AO3" s="108"/>
      <c r="AP3" s="108"/>
      <c r="AQ3" s="108"/>
      <c r="AR3" s="108"/>
      <c r="AS3" s="108"/>
      <c r="AT3" s="108"/>
      <c r="AU3" s="108"/>
      <c r="AV3" s="106"/>
      <c r="AX3" s="89" t="s">
        <v>141</v>
      </c>
      <c r="AY3" s="89" t="s">
        <v>141</v>
      </c>
    </row>
    <row r="4" spans="2:51">
      <c r="B4" s="29">
        <v>1</v>
      </c>
      <c r="C4" s="29">
        <v>2</v>
      </c>
      <c r="D4" s="29">
        <v>3</v>
      </c>
      <c r="E4" s="29">
        <v>4</v>
      </c>
      <c r="F4" s="29">
        <v>5</v>
      </c>
      <c r="G4" s="29">
        <v>6</v>
      </c>
      <c r="H4" s="29">
        <v>7</v>
      </c>
      <c r="I4" s="29">
        <v>8</v>
      </c>
      <c r="J4" s="29">
        <v>9</v>
      </c>
      <c r="K4" s="29">
        <v>10</v>
      </c>
      <c r="L4" s="29">
        <v>11</v>
      </c>
      <c r="M4" s="29">
        <v>12</v>
      </c>
      <c r="N4" s="29">
        <v>13</v>
      </c>
      <c r="O4" s="29">
        <v>14</v>
      </c>
      <c r="P4" s="29">
        <v>15</v>
      </c>
      <c r="Q4" s="29">
        <v>16</v>
      </c>
      <c r="R4" s="29">
        <v>17</v>
      </c>
      <c r="S4" s="29">
        <v>18</v>
      </c>
      <c r="T4" s="29">
        <v>19</v>
      </c>
      <c r="U4" s="29">
        <v>20</v>
      </c>
      <c r="V4" s="29">
        <v>21</v>
      </c>
      <c r="W4" s="29">
        <v>22</v>
      </c>
      <c r="X4" s="29">
        <v>23</v>
      </c>
      <c r="Y4" s="29"/>
      <c r="Z4" s="116" t="s">
        <v>194</v>
      </c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64">
        <v>37</v>
      </c>
      <c r="AM4" s="64">
        <v>38</v>
      </c>
      <c r="AN4" s="64">
        <v>39</v>
      </c>
      <c r="AO4" s="64">
        <v>40</v>
      </c>
      <c r="AP4" s="106"/>
      <c r="AQ4" s="109" t="s">
        <v>185</v>
      </c>
      <c r="AR4" s="106"/>
      <c r="AS4" s="106"/>
      <c r="AT4" s="106"/>
      <c r="AU4" s="106"/>
      <c r="AV4" s="106"/>
      <c r="AX4" s="89" t="s">
        <v>211</v>
      </c>
      <c r="AY4" s="89" t="s">
        <v>212</v>
      </c>
    </row>
    <row r="5" spans="2:51" s="27" customFormat="1" ht="16.2" thickBot="1">
      <c r="B5" s="30" t="s">
        <v>1</v>
      </c>
      <c r="C5" s="30">
        <v>1</v>
      </c>
      <c r="D5" s="30"/>
      <c r="E5" s="30">
        <v>2</v>
      </c>
      <c r="F5" s="30"/>
      <c r="G5" s="30">
        <v>3</v>
      </c>
      <c r="H5" s="30"/>
      <c r="I5" s="30">
        <v>4</v>
      </c>
      <c r="J5" s="30"/>
      <c r="K5" s="30">
        <v>5</v>
      </c>
      <c r="L5" s="30"/>
      <c r="M5" s="30">
        <v>6</v>
      </c>
      <c r="N5" s="30"/>
      <c r="O5" s="30">
        <v>7</v>
      </c>
      <c r="P5" s="30"/>
      <c r="Q5" s="30">
        <v>8</v>
      </c>
      <c r="R5" s="30"/>
      <c r="S5" s="30">
        <v>9</v>
      </c>
      <c r="T5" s="31"/>
      <c r="U5" s="30">
        <v>10</v>
      </c>
      <c r="V5" s="31"/>
      <c r="W5" s="31">
        <v>11</v>
      </c>
      <c r="X5" s="31"/>
      <c r="Y5" s="31"/>
      <c r="Z5" s="107" t="s">
        <v>29</v>
      </c>
      <c r="AA5" s="31" t="s">
        <v>30</v>
      </c>
      <c r="AB5" s="31" t="s">
        <v>193</v>
      </c>
      <c r="AC5" s="31" t="s">
        <v>171</v>
      </c>
      <c r="AD5" s="123" t="s">
        <v>173</v>
      </c>
      <c r="AF5" s="32" t="s">
        <v>90</v>
      </c>
      <c r="AG5" s="32" t="s">
        <v>91</v>
      </c>
      <c r="AH5" s="32" t="s">
        <v>92</v>
      </c>
      <c r="AI5" s="32" t="s">
        <v>93</v>
      </c>
      <c r="AJ5" s="32" t="s">
        <v>41</v>
      </c>
      <c r="AL5" s="110">
        <v>12</v>
      </c>
      <c r="AM5" s="107"/>
      <c r="AN5" s="107">
        <v>13</v>
      </c>
      <c r="AO5" s="107"/>
      <c r="AP5" s="107"/>
      <c r="AQ5" s="107" t="s">
        <v>186</v>
      </c>
      <c r="AR5" s="107" t="s">
        <v>187</v>
      </c>
      <c r="AS5" s="107" t="s">
        <v>188</v>
      </c>
      <c r="AT5" s="107" t="s">
        <v>138</v>
      </c>
      <c r="AU5" s="111" t="s">
        <v>192</v>
      </c>
      <c r="AV5" s="109"/>
      <c r="AX5" s="27" t="e">
        <f ca="1">AF7*(AG7+AH7+AI7)*1</f>
        <v>#REF!</v>
      </c>
      <c r="AY5" s="27" t="e">
        <f ca="1">AJ7*B7*1</f>
        <v>#REF!</v>
      </c>
    </row>
    <row r="6" spans="2:51" hidden="1">
      <c r="B6" s="33">
        <v>1.5</v>
      </c>
      <c r="C6" s="34" t="e">
        <f ca="1">INDIRECT("H"&amp;B6*10&amp;"!"&amp;"E313")</f>
        <v>#REF!</v>
      </c>
      <c r="D6" s="35" t="e">
        <f ca="1">INDIRECT("H"&amp;B6*10&amp;"!"&amp;"F313")</f>
        <v>#REF!</v>
      </c>
      <c r="E6" s="34" t="e">
        <f ca="1">INDIRECT("H"&amp;B6*10&amp;"!"&amp;"E312")</f>
        <v>#REF!</v>
      </c>
      <c r="F6" s="35" t="e">
        <f ca="1">INDIRECT("H"&amp;B6*10&amp;"!"&amp;"F312")</f>
        <v>#REF!</v>
      </c>
      <c r="G6" s="34" t="e">
        <f ca="1">INDIRECT("H"&amp;B6*10&amp;"!"&amp;"E341")</f>
        <v>#REF!</v>
      </c>
      <c r="H6" s="35" t="e">
        <f ca="1">INDIRECT("H"&amp;B6*10&amp;"!"&amp;"H341")</f>
        <v>#REF!</v>
      </c>
      <c r="I6" s="34" t="e">
        <f ca="1">INDIRECT("H"&amp;B6*10&amp;"!"&amp;"E373")</f>
        <v>#REF!</v>
      </c>
      <c r="J6" s="35" t="e">
        <f ca="1">INDIRECT("H"&amp;B6*10&amp;"!"&amp;"F373")</f>
        <v>#REF!</v>
      </c>
      <c r="K6" s="34" t="e">
        <f ca="1">INDIRECT("H"&amp;B6*10&amp;"!"&amp;"E372")</f>
        <v>#REF!</v>
      </c>
      <c r="L6" s="35" t="e">
        <f ca="1">INDIRECT("H"&amp;B6*10&amp;"!"&amp;"F372")</f>
        <v>#REF!</v>
      </c>
      <c r="M6" s="34" t="e">
        <f ca="1">INDIRECT("H"&amp;B6*10&amp;"!"&amp;"E439")</f>
        <v>#REF!</v>
      </c>
      <c r="N6" s="35" t="e">
        <f ca="1">INDIRECT("H"&amp;B6*10&amp;"!"&amp;"F439")</f>
        <v>#REF!</v>
      </c>
      <c r="O6" s="34" t="e">
        <f ca="1">INDIRECT("H"&amp;B6*10&amp;"!"&amp;"E438")</f>
        <v>#REF!</v>
      </c>
      <c r="P6" s="35" t="e">
        <f ca="1">INDIRECT("H"&amp;B6*10&amp;"!"&amp;"F438")</f>
        <v>#REF!</v>
      </c>
      <c r="Q6" s="34" t="e">
        <f ca="1">+G6</f>
        <v>#REF!</v>
      </c>
      <c r="R6" s="35" t="e">
        <f ca="1">+H6</f>
        <v>#REF!</v>
      </c>
      <c r="S6" s="34" t="e">
        <f ca="1">+Q6</f>
        <v>#REF!</v>
      </c>
      <c r="T6" s="35" t="e">
        <f ca="1">+R6</f>
        <v>#REF!</v>
      </c>
      <c r="U6" s="34" t="e">
        <f ca="1">INDIRECT("H"&amp;B6*10&amp;"!"&amp;"E465")</f>
        <v>#REF!</v>
      </c>
      <c r="V6" s="35" t="e">
        <f ca="1">INDIRECT("H"&amp;B6*10&amp;"!"&amp;"h465")</f>
        <v>#REF!</v>
      </c>
      <c r="W6" s="35" t="e">
        <f ca="1">+U6</f>
        <v>#REF!</v>
      </c>
      <c r="X6" s="35" t="e">
        <f ca="1">+V6</f>
        <v>#REF!</v>
      </c>
      <c r="Y6" s="35"/>
      <c r="Z6" s="114" t="e">
        <f ca="1">IF(INDIRECT("H"&amp;B6*10&amp;"!"&amp;"G312")=0,0,INDIRECT("H"&amp;B6*10&amp;"!"&amp;"G312")+VLOOKUP(E6,$AG$54:$AM$59,7,0))</f>
        <v>#REF!</v>
      </c>
      <c r="AA6" s="35" t="e">
        <f t="shared" ref="AA6:AA24" ca="1" si="0">CEILING(12*2.54*C6,5)/100</f>
        <v>#REF!</v>
      </c>
      <c r="AB6" s="33" t="e">
        <f ca="1">+AF6-(0.075+(C6*2.54/2)/100)</f>
        <v>#REF!</v>
      </c>
      <c r="AC6" s="36" t="e">
        <f ca="1">IF(INDIRECT("H"&amp;B6*10&amp;"!"&amp;"G372")=0,0,INDIRECT("H"&amp;B6*10&amp;"!"&amp;"G372")+2*VLOOKUP(K6,$AG$54:$AM$59,7,0))</f>
        <v>#REF!</v>
      </c>
      <c r="AD6" s="119" t="e">
        <f ca="1">IF(INDIRECT("H"&amp;B6*10&amp;"!"&amp;"G438")=0,0,INDIRECT("H"&amp;B6*10&amp;"!"&amp;"G438")+2*VLOOKUP(O6,$AG$54:$AM$59,7,0))</f>
        <v>#REF!</v>
      </c>
      <c r="AE6" s="36"/>
      <c r="AF6" s="36" t="e">
        <f t="shared" ref="AF6:AF24" ca="1" si="1">INDIRECT("H"&amp;B6*10&amp;"!"&amp;"C30")</f>
        <v>#REF!</v>
      </c>
      <c r="AG6" s="36" t="e">
        <f t="shared" ref="AG6:AG24" ca="1" si="2">INDIRECT("H"&amp;B6*10&amp;"!"&amp;"C32")</f>
        <v>#REF!</v>
      </c>
      <c r="AH6" s="28" t="e">
        <f t="shared" ref="AH6:AH24" ca="1" si="3">INDIRECT("H"&amp;B6*10&amp;"!"&amp;"C33")</f>
        <v>#REF!</v>
      </c>
      <c r="AI6" s="36" t="e">
        <f t="shared" ref="AI6:AI24" ca="1" si="4">INDIRECT("H"&amp;B6*10&amp;"!"&amp;"C34")</f>
        <v>#REF!</v>
      </c>
      <c r="AJ6" s="33" t="e">
        <f t="shared" ref="AJ6:AJ24" ca="1" si="5">INDIRECT("H"&amp;B6*10&amp;"!"&amp;"C31")</f>
        <v>#REF!</v>
      </c>
      <c r="AL6" s="103" t="e">
        <f t="shared" ref="AL6:AL24" ca="1" si="6">INDIRECT("H"&amp;B6*10&amp;"!"&amp;"T207")</f>
        <v>#REF!</v>
      </c>
      <c r="AM6" s="106" t="e">
        <f t="shared" ref="AM6:AM13" ca="1" si="7">INDIRECT("H"&amp;B6*10&amp;"!"&amp;"U207")</f>
        <v>#REF!</v>
      </c>
      <c r="AN6" s="103" t="e">
        <f t="shared" ref="AN6:AN13" ca="1" si="8">INDIRECT("H"&amp;B6*10&amp;"!"&amp;"AC207")</f>
        <v>#REF!</v>
      </c>
      <c r="AO6" s="106" t="e">
        <f t="shared" ref="AO6:AO13" ca="1" si="9">INDIRECT("H"&amp;B6*10&amp;"!"&amp;"AF207")</f>
        <v>#REF!</v>
      </c>
      <c r="AP6" s="106"/>
      <c r="AQ6" s="106" t="e">
        <f t="shared" ref="AQ6:AQ13" ca="1" si="10">INDIRECT("H"&amp;B6*10&amp;"!"&amp;"s195")</f>
        <v>#REF!</v>
      </c>
      <c r="AR6" s="106" t="e">
        <f t="shared" ref="AR6:AR13" ca="1" si="11">INDIRECT("H"&amp;B6*10&amp;"!"&amp;"T195")</f>
        <v>#REF!</v>
      </c>
      <c r="AS6" s="106" t="e">
        <f t="shared" ref="AS6:AS13" ca="1" si="12">INDIRECT("H"&amp;B6*10&amp;"!"&amp;"U195")</f>
        <v>#REF!</v>
      </c>
      <c r="AT6" s="106" t="e">
        <f t="shared" ref="AT6:AT13" ca="1" si="13">AS6*(AQ6+AR6)/2</f>
        <v>#REF!</v>
      </c>
      <c r="AU6" s="106" t="e">
        <f ca="1">IF(INDIRECT("H"&amp;B6*10&amp;"!"&amp;"L194")="          No requiere dentellon!!",0,1)</f>
        <v>#REF!</v>
      </c>
      <c r="AV6" s="106"/>
      <c r="AX6" s="27" t="e">
        <f t="shared" ref="AX6:AX18" ca="1" si="14">AF8*(AG8+AH8+AI8)*1</f>
        <v>#REF!</v>
      </c>
      <c r="AY6" s="27" t="e">
        <f t="shared" ref="AY6:AY18" ca="1" si="15">AJ8*B8*1</f>
        <v>#REF!</v>
      </c>
    </row>
    <row r="7" spans="2:51">
      <c r="B7" s="33">
        <f>B6+0.5</f>
        <v>2</v>
      </c>
      <c r="C7" s="34">
        <v>0.375</v>
      </c>
      <c r="D7" s="35">
        <v>0.25</v>
      </c>
      <c r="E7" s="104">
        <v>0.375</v>
      </c>
      <c r="F7" s="105">
        <v>3</v>
      </c>
      <c r="G7" s="104">
        <v>0.375</v>
      </c>
      <c r="H7" s="105">
        <v>0.15</v>
      </c>
      <c r="I7" s="34">
        <v>0.375</v>
      </c>
      <c r="J7" s="35">
        <v>0.2</v>
      </c>
      <c r="K7" s="34">
        <v>0</v>
      </c>
      <c r="L7" s="35">
        <v>0</v>
      </c>
      <c r="M7" s="34">
        <v>0.375</v>
      </c>
      <c r="N7" s="35">
        <v>0.2</v>
      </c>
      <c r="O7" s="104">
        <v>0.375</v>
      </c>
      <c r="P7" s="105">
        <v>0.15</v>
      </c>
      <c r="Q7" s="34">
        <v>0.375</v>
      </c>
      <c r="R7" s="35">
        <v>0.22500000000000001</v>
      </c>
      <c r="S7" s="104">
        <v>0.375</v>
      </c>
      <c r="T7" s="105">
        <v>0.125</v>
      </c>
      <c r="U7" s="34">
        <v>0.375</v>
      </c>
      <c r="V7" s="35">
        <v>0.2</v>
      </c>
      <c r="W7" s="34">
        <v>0.375</v>
      </c>
      <c r="X7" s="35">
        <v>0.2</v>
      </c>
      <c r="Y7" s="35"/>
      <c r="Z7" s="119">
        <f>CEILING(12*2.54*E7,5)/100</f>
        <v>0.15</v>
      </c>
      <c r="AA7" s="35">
        <f>CEILING(12*2.54*C7,5)/100</f>
        <v>0.15</v>
      </c>
      <c r="AB7" s="33">
        <f>IF((4*(C7*2.54)/100)&lt;0.065,0.065,(4*(C7*2.54)/100))</f>
        <v>6.5000000000000002E-2</v>
      </c>
      <c r="AC7" s="36">
        <f>IF(K7=0,0,(VLOOKUP(K7,$AG$54:$AM$59,7,0)+AG7))</f>
        <v>0</v>
      </c>
      <c r="AD7" s="119">
        <f>CEILING(12*2.54*G7,5)/100</f>
        <v>0.15</v>
      </c>
      <c r="AE7" s="36"/>
      <c r="AF7" s="36" t="e">
        <f t="shared" ca="1" si="1"/>
        <v>#REF!</v>
      </c>
      <c r="AG7" s="36" t="e">
        <f t="shared" ca="1" si="2"/>
        <v>#REF!</v>
      </c>
      <c r="AH7" s="28" t="e">
        <f t="shared" ca="1" si="3"/>
        <v>#REF!</v>
      </c>
      <c r="AI7" s="36" t="e">
        <f t="shared" ca="1" si="4"/>
        <v>#REF!</v>
      </c>
      <c r="AJ7" s="33" t="e">
        <f t="shared" ca="1" si="5"/>
        <v>#REF!</v>
      </c>
      <c r="AL7" s="103" t="e">
        <f t="shared" ca="1" si="6"/>
        <v>#REF!</v>
      </c>
      <c r="AM7" s="106" t="e">
        <f t="shared" ca="1" si="7"/>
        <v>#REF!</v>
      </c>
      <c r="AN7" s="103" t="e">
        <f t="shared" ca="1" si="8"/>
        <v>#REF!</v>
      </c>
      <c r="AO7" s="106" t="e">
        <f t="shared" ca="1" si="9"/>
        <v>#REF!</v>
      </c>
      <c r="AP7" s="106"/>
      <c r="AQ7" s="106" t="e">
        <f t="shared" ca="1" si="10"/>
        <v>#REF!</v>
      </c>
      <c r="AR7" s="106" t="e">
        <f t="shared" ca="1" si="11"/>
        <v>#REF!</v>
      </c>
      <c r="AS7" s="106" t="e">
        <f t="shared" ca="1" si="12"/>
        <v>#REF!</v>
      </c>
      <c r="AT7" s="106" t="e">
        <f t="shared" ca="1" si="13"/>
        <v>#REF!</v>
      </c>
      <c r="AU7" s="106" t="e">
        <f t="shared" ref="AU7:AU24" ca="1" si="16">IF(INDIRECT("H"&amp;B7*10&amp;"!"&amp;"L194")="          No requiere dentellon!!",0,1)</f>
        <v>#REF!</v>
      </c>
      <c r="AV7" s="106"/>
      <c r="AX7" s="27" t="e">
        <f t="shared" ca="1" si="14"/>
        <v>#REF!</v>
      </c>
      <c r="AY7" s="27" t="e">
        <f t="shared" ca="1" si="15"/>
        <v>#REF!</v>
      </c>
    </row>
    <row r="8" spans="2:51">
      <c r="B8" s="33">
        <f t="shared" ref="B8:B23" si="17">B7+0.5</f>
        <v>2.5</v>
      </c>
      <c r="C8" s="34">
        <v>0.375</v>
      </c>
      <c r="D8" s="35">
        <v>0.25</v>
      </c>
      <c r="E8" s="104">
        <v>0.375</v>
      </c>
      <c r="F8" s="105">
        <v>3</v>
      </c>
      <c r="G8" s="104">
        <v>0.375</v>
      </c>
      <c r="H8" s="105">
        <v>0.2</v>
      </c>
      <c r="I8" s="34">
        <v>0.375</v>
      </c>
      <c r="J8" s="35">
        <v>0.2</v>
      </c>
      <c r="K8" s="34">
        <v>0</v>
      </c>
      <c r="L8" s="35">
        <v>0</v>
      </c>
      <c r="M8" s="34">
        <v>0.375</v>
      </c>
      <c r="N8" s="35">
        <v>0.2</v>
      </c>
      <c r="O8" s="104">
        <v>0.375</v>
      </c>
      <c r="P8" s="105">
        <v>0.2</v>
      </c>
      <c r="Q8" s="34">
        <v>0.375</v>
      </c>
      <c r="R8" s="35">
        <v>0.22500000000000001</v>
      </c>
      <c r="S8" s="104">
        <v>0.375</v>
      </c>
      <c r="T8" s="105">
        <v>0.125</v>
      </c>
      <c r="U8" s="34">
        <v>0.375</v>
      </c>
      <c r="V8" s="35">
        <v>0.2</v>
      </c>
      <c r="W8" s="34">
        <v>0.375</v>
      </c>
      <c r="X8" s="35">
        <v>0.2</v>
      </c>
      <c r="Y8" s="35"/>
      <c r="Z8" s="119">
        <f t="shared" ref="Z8:Z21" si="18">CEILING(12*2.54*E8,5)/100</f>
        <v>0.15</v>
      </c>
      <c r="AA8" s="35">
        <f t="shared" si="0"/>
        <v>0.15</v>
      </c>
      <c r="AB8" s="33">
        <f t="shared" ref="AB8:AB21" si="19">IF((4*(C8*2.54)/100)&lt;0.065,0.065,(4*(C8*2.54)/100))</f>
        <v>6.5000000000000002E-2</v>
      </c>
      <c r="AC8" s="36">
        <f t="shared" ref="AC8:AC21" si="20">IF(K8=0,0,(VLOOKUP(K8,$AG$54:$AM$59,7,0)+AG8))</f>
        <v>0</v>
      </c>
      <c r="AD8" s="119">
        <f t="shared" ref="AD8:AD21" si="21">CEILING(12*2.54*G8,5)/100</f>
        <v>0.15</v>
      </c>
      <c r="AE8" s="36"/>
      <c r="AF8" s="36" t="e">
        <f t="shared" ca="1" si="1"/>
        <v>#REF!</v>
      </c>
      <c r="AG8" s="36" t="e">
        <f t="shared" ca="1" si="2"/>
        <v>#REF!</v>
      </c>
      <c r="AH8" s="28" t="e">
        <f t="shared" ca="1" si="3"/>
        <v>#REF!</v>
      </c>
      <c r="AI8" s="36" t="e">
        <f t="shared" ca="1" si="4"/>
        <v>#REF!</v>
      </c>
      <c r="AJ8" s="33" t="e">
        <f t="shared" ca="1" si="5"/>
        <v>#REF!</v>
      </c>
      <c r="AL8" s="103" t="e">
        <f t="shared" ca="1" si="6"/>
        <v>#REF!</v>
      </c>
      <c r="AM8" s="106" t="e">
        <f t="shared" ca="1" si="7"/>
        <v>#REF!</v>
      </c>
      <c r="AN8" s="103" t="e">
        <f t="shared" ca="1" si="8"/>
        <v>#REF!</v>
      </c>
      <c r="AO8" s="106" t="e">
        <f t="shared" ca="1" si="9"/>
        <v>#REF!</v>
      </c>
      <c r="AP8" s="106"/>
      <c r="AQ8" s="106" t="e">
        <f t="shared" ca="1" si="10"/>
        <v>#REF!</v>
      </c>
      <c r="AR8" s="106" t="e">
        <f t="shared" ca="1" si="11"/>
        <v>#REF!</v>
      </c>
      <c r="AS8" s="106" t="e">
        <f t="shared" ca="1" si="12"/>
        <v>#REF!</v>
      </c>
      <c r="AT8" s="106" t="e">
        <f t="shared" ca="1" si="13"/>
        <v>#REF!</v>
      </c>
      <c r="AU8" s="106" t="e">
        <f t="shared" ca="1" si="16"/>
        <v>#REF!</v>
      </c>
      <c r="AV8" s="106"/>
      <c r="AX8" s="27" t="e">
        <f t="shared" ca="1" si="14"/>
        <v>#REF!</v>
      </c>
      <c r="AY8" s="27" t="e">
        <f t="shared" ca="1" si="15"/>
        <v>#REF!</v>
      </c>
    </row>
    <row r="9" spans="2:51">
      <c r="B9" s="33">
        <f t="shared" si="17"/>
        <v>3</v>
      </c>
      <c r="C9" s="34">
        <v>0.375</v>
      </c>
      <c r="D9" s="35">
        <v>0.25</v>
      </c>
      <c r="E9" s="104">
        <v>0.5</v>
      </c>
      <c r="F9" s="105">
        <v>3</v>
      </c>
      <c r="G9" s="104">
        <v>0.5</v>
      </c>
      <c r="H9" s="105">
        <v>0.25</v>
      </c>
      <c r="I9" s="34">
        <v>0.5</v>
      </c>
      <c r="J9" s="35">
        <v>0.3</v>
      </c>
      <c r="K9" s="34">
        <v>0</v>
      </c>
      <c r="L9" s="35">
        <v>0</v>
      </c>
      <c r="M9" s="34">
        <v>0.5</v>
      </c>
      <c r="N9" s="35">
        <v>0.3</v>
      </c>
      <c r="O9" s="104">
        <v>0.5</v>
      </c>
      <c r="P9" s="105">
        <v>0.25</v>
      </c>
      <c r="Q9" s="34">
        <v>0.375</v>
      </c>
      <c r="R9" s="35">
        <v>0.22500000000000001</v>
      </c>
      <c r="S9" s="104">
        <v>0.375</v>
      </c>
      <c r="T9" s="105">
        <v>0.125</v>
      </c>
      <c r="U9" s="34">
        <v>0.5</v>
      </c>
      <c r="V9" s="35">
        <v>0.3</v>
      </c>
      <c r="W9" s="34">
        <v>0.5</v>
      </c>
      <c r="X9" s="35">
        <v>0.3</v>
      </c>
      <c r="Y9" s="35"/>
      <c r="Z9" s="119">
        <f t="shared" si="18"/>
        <v>0.2</v>
      </c>
      <c r="AA9" s="35">
        <f t="shared" si="0"/>
        <v>0.15</v>
      </c>
      <c r="AB9" s="33">
        <f t="shared" si="19"/>
        <v>6.5000000000000002E-2</v>
      </c>
      <c r="AC9" s="36">
        <f t="shared" si="20"/>
        <v>0</v>
      </c>
      <c r="AD9" s="119">
        <f t="shared" si="21"/>
        <v>0.2</v>
      </c>
      <c r="AE9" s="36"/>
      <c r="AF9" s="36" t="e">
        <f t="shared" ca="1" si="1"/>
        <v>#REF!</v>
      </c>
      <c r="AG9" s="36" t="e">
        <f t="shared" ca="1" si="2"/>
        <v>#REF!</v>
      </c>
      <c r="AH9" s="28" t="e">
        <f t="shared" ca="1" si="3"/>
        <v>#REF!</v>
      </c>
      <c r="AI9" s="36" t="e">
        <f t="shared" ca="1" si="4"/>
        <v>#REF!</v>
      </c>
      <c r="AJ9" s="33" t="e">
        <f t="shared" ca="1" si="5"/>
        <v>#REF!</v>
      </c>
      <c r="AL9" s="103" t="e">
        <f t="shared" ca="1" si="6"/>
        <v>#REF!</v>
      </c>
      <c r="AM9" s="106" t="e">
        <f t="shared" ca="1" si="7"/>
        <v>#REF!</v>
      </c>
      <c r="AN9" s="103" t="e">
        <f t="shared" ca="1" si="8"/>
        <v>#REF!</v>
      </c>
      <c r="AO9" s="106" t="e">
        <f t="shared" ca="1" si="9"/>
        <v>#REF!</v>
      </c>
      <c r="AP9" s="106"/>
      <c r="AQ9" s="106" t="e">
        <f t="shared" ca="1" si="10"/>
        <v>#REF!</v>
      </c>
      <c r="AR9" s="106" t="e">
        <f t="shared" ca="1" si="11"/>
        <v>#REF!</v>
      </c>
      <c r="AS9" s="106" t="e">
        <f t="shared" ca="1" si="12"/>
        <v>#REF!</v>
      </c>
      <c r="AT9" s="106" t="e">
        <f t="shared" ca="1" si="13"/>
        <v>#REF!</v>
      </c>
      <c r="AU9" s="106" t="e">
        <f t="shared" ca="1" si="16"/>
        <v>#REF!</v>
      </c>
      <c r="AV9" s="106"/>
      <c r="AX9" s="27" t="e">
        <f t="shared" ca="1" si="14"/>
        <v>#REF!</v>
      </c>
      <c r="AY9" s="27" t="e">
        <f t="shared" ca="1" si="15"/>
        <v>#REF!</v>
      </c>
    </row>
    <row r="10" spans="2:51">
      <c r="B10" s="33">
        <f t="shared" si="17"/>
        <v>3.5</v>
      </c>
      <c r="C10" s="34">
        <v>0.375</v>
      </c>
      <c r="D10" s="35">
        <v>0.25</v>
      </c>
      <c r="E10" s="104">
        <v>0.5</v>
      </c>
      <c r="F10" s="105">
        <v>3</v>
      </c>
      <c r="G10" s="104">
        <v>0.5</v>
      </c>
      <c r="H10" s="105">
        <v>0.25</v>
      </c>
      <c r="I10" s="34">
        <v>0.5</v>
      </c>
      <c r="J10" s="35">
        <v>0.3</v>
      </c>
      <c r="K10" s="34">
        <v>0</v>
      </c>
      <c r="L10" s="35">
        <v>0</v>
      </c>
      <c r="M10" s="34">
        <v>0.5</v>
      </c>
      <c r="N10" s="35">
        <v>0.3</v>
      </c>
      <c r="O10" s="104">
        <v>0.5</v>
      </c>
      <c r="P10" s="105">
        <v>0.25</v>
      </c>
      <c r="Q10" s="34">
        <v>0.375</v>
      </c>
      <c r="R10" s="35">
        <v>0.22500000000000001</v>
      </c>
      <c r="S10" s="104">
        <v>0.375</v>
      </c>
      <c r="T10" s="105">
        <v>0.125</v>
      </c>
      <c r="U10" s="34">
        <v>0.5</v>
      </c>
      <c r="V10" s="35">
        <v>0.3</v>
      </c>
      <c r="W10" s="34">
        <v>0.5</v>
      </c>
      <c r="X10" s="35">
        <v>0.3</v>
      </c>
      <c r="Y10" s="35"/>
      <c r="Z10" s="119">
        <f t="shared" si="18"/>
        <v>0.2</v>
      </c>
      <c r="AA10" s="35">
        <f t="shared" si="0"/>
        <v>0.15</v>
      </c>
      <c r="AB10" s="33">
        <f t="shared" si="19"/>
        <v>6.5000000000000002E-2</v>
      </c>
      <c r="AC10" s="36">
        <f t="shared" si="20"/>
        <v>0</v>
      </c>
      <c r="AD10" s="119">
        <f t="shared" si="21"/>
        <v>0.2</v>
      </c>
      <c r="AE10" s="36"/>
      <c r="AF10" s="36" t="e">
        <f t="shared" ca="1" si="1"/>
        <v>#REF!</v>
      </c>
      <c r="AG10" s="36" t="e">
        <f t="shared" ca="1" si="2"/>
        <v>#REF!</v>
      </c>
      <c r="AH10" s="28" t="e">
        <f t="shared" ca="1" si="3"/>
        <v>#REF!</v>
      </c>
      <c r="AI10" s="36" t="e">
        <f t="shared" ca="1" si="4"/>
        <v>#REF!</v>
      </c>
      <c r="AJ10" s="33" t="e">
        <f t="shared" ca="1" si="5"/>
        <v>#REF!</v>
      </c>
      <c r="AL10" s="103" t="e">
        <f t="shared" ca="1" si="6"/>
        <v>#REF!</v>
      </c>
      <c r="AM10" s="106" t="e">
        <f t="shared" ca="1" si="7"/>
        <v>#REF!</v>
      </c>
      <c r="AN10" s="103" t="e">
        <f t="shared" ca="1" si="8"/>
        <v>#REF!</v>
      </c>
      <c r="AO10" s="106" t="e">
        <f t="shared" ca="1" si="9"/>
        <v>#REF!</v>
      </c>
      <c r="AP10" s="106"/>
      <c r="AQ10" s="106" t="e">
        <f t="shared" ca="1" si="10"/>
        <v>#REF!</v>
      </c>
      <c r="AR10" s="106" t="e">
        <f t="shared" ca="1" si="11"/>
        <v>#REF!</v>
      </c>
      <c r="AS10" s="106" t="e">
        <f t="shared" ca="1" si="12"/>
        <v>#REF!</v>
      </c>
      <c r="AT10" s="106" t="e">
        <f t="shared" ca="1" si="13"/>
        <v>#REF!</v>
      </c>
      <c r="AU10" s="106" t="e">
        <f t="shared" ca="1" si="16"/>
        <v>#REF!</v>
      </c>
      <c r="AV10" s="106"/>
      <c r="AX10" s="27" t="e">
        <f t="shared" ca="1" si="14"/>
        <v>#REF!</v>
      </c>
      <c r="AY10" s="27" t="e">
        <f t="shared" ca="1" si="15"/>
        <v>#REF!</v>
      </c>
    </row>
    <row r="11" spans="2:51">
      <c r="B11" s="33">
        <f t="shared" si="17"/>
        <v>4</v>
      </c>
      <c r="C11" s="34">
        <v>0.375</v>
      </c>
      <c r="D11" s="35">
        <v>0.25</v>
      </c>
      <c r="E11" s="104">
        <v>0.5</v>
      </c>
      <c r="F11" s="105">
        <v>4</v>
      </c>
      <c r="G11" s="104">
        <v>0.5</v>
      </c>
      <c r="H11" s="105">
        <v>0.22500000000000001</v>
      </c>
      <c r="I11" s="34">
        <v>0.5</v>
      </c>
      <c r="J11" s="35">
        <v>0.25</v>
      </c>
      <c r="K11" s="34">
        <v>0</v>
      </c>
      <c r="L11" s="35">
        <v>0</v>
      </c>
      <c r="M11" s="34">
        <v>0.5</v>
      </c>
      <c r="N11" s="35">
        <v>0.25</v>
      </c>
      <c r="O11" s="104">
        <v>0.5</v>
      </c>
      <c r="P11" s="105">
        <v>0.22500000000000001</v>
      </c>
      <c r="Q11" s="34">
        <v>0.375</v>
      </c>
      <c r="R11" s="35">
        <v>0.22500000000000001</v>
      </c>
      <c r="S11" s="104">
        <v>0.375</v>
      </c>
      <c r="T11" s="105">
        <v>0.125</v>
      </c>
      <c r="U11" s="34">
        <v>0.5</v>
      </c>
      <c r="V11" s="35">
        <v>0.25</v>
      </c>
      <c r="W11" s="34">
        <v>0.5</v>
      </c>
      <c r="X11" s="35">
        <v>0.25</v>
      </c>
      <c r="Y11" s="35"/>
      <c r="Z11" s="119">
        <f>CEILING(12*2.54*E11,5)/100</f>
        <v>0.2</v>
      </c>
      <c r="AA11" s="35">
        <f t="shared" si="0"/>
        <v>0.15</v>
      </c>
      <c r="AB11" s="33">
        <f t="shared" si="19"/>
        <v>6.5000000000000002E-2</v>
      </c>
      <c r="AC11" s="36">
        <f t="shared" si="20"/>
        <v>0</v>
      </c>
      <c r="AD11" s="119">
        <f t="shared" si="21"/>
        <v>0.2</v>
      </c>
      <c r="AE11" s="36"/>
      <c r="AF11" s="36" t="e">
        <f t="shared" ca="1" si="1"/>
        <v>#REF!</v>
      </c>
      <c r="AG11" s="36" t="e">
        <f t="shared" ca="1" si="2"/>
        <v>#REF!</v>
      </c>
      <c r="AH11" s="28" t="e">
        <f t="shared" ca="1" si="3"/>
        <v>#REF!</v>
      </c>
      <c r="AI11" s="36" t="e">
        <f t="shared" ca="1" si="4"/>
        <v>#REF!</v>
      </c>
      <c r="AJ11" s="33" t="e">
        <f t="shared" ca="1" si="5"/>
        <v>#REF!</v>
      </c>
      <c r="AL11" s="103" t="e">
        <f t="shared" ca="1" si="6"/>
        <v>#REF!</v>
      </c>
      <c r="AM11" s="106" t="e">
        <f t="shared" ca="1" si="7"/>
        <v>#REF!</v>
      </c>
      <c r="AN11" s="103" t="e">
        <f t="shared" ca="1" si="8"/>
        <v>#REF!</v>
      </c>
      <c r="AO11" s="106" t="e">
        <f t="shared" ca="1" si="9"/>
        <v>#REF!</v>
      </c>
      <c r="AP11" s="106"/>
      <c r="AQ11" s="106" t="e">
        <f t="shared" ca="1" si="10"/>
        <v>#REF!</v>
      </c>
      <c r="AR11" s="106" t="e">
        <f t="shared" ca="1" si="11"/>
        <v>#REF!</v>
      </c>
      <c r="AS11" s="106" t="e">
        <f t="shared" ca="1" si="12"/>
        <v>#REF!</v>
      </c>
      <c r="AT11" s="106" t="e">
        <f t="shared" ca="1" si="13"/>
        <v>#REF!</v>
      </c>
      <c r="AU11" s="106" t="e">
        <f t="shared" ca="1" si="16"/>
        <v>#REF!</v>
      </c>
      <c r="AV11" s="106"/>
      <c r="AX11" s="27" t="e">
        <f t="shared" ca="1" si="14"/>
        <v>#REF!</v>
      </c>
      <c r="AY11" s="27" t="e">
        <f t="shared" ca="1" si="15"/>
        <v>#REF!</v>
      </c>
    </row>
    <row r="12" spans="2:51">
      <c r="B12" s="33">
        <f t="shared" si="17"/>
        <v>4.5</v>
      </c>
      <c r="C12" s="34">
        <v>0.375</v>
      </c>
      <c r="D12" s="35">
        <v>0.25</v>
      </c>
      <c r="E12" s="104">
        <v>0.625</v>
      </c>
      <c r="F12" s="105">
        <v>3</v>
      </c>
      <c r="G12" s="104">
        <v>0.5</v>
      </c>
      <c r="H12" s="105">
        <v>0.22500000000000001</v>
      </c>
      <c r="I12" s="34">
        <v>0.5</v>
      </c>
      <c r="J12" s="35">
        <v>0.2</v>
      </c>
      <c r="K12" s="34">
        <v>0</v>
      </c>
      <c r="L12" s="35">
        <v>0</v>
      </c>
      <c r="M12" s="34">
        <v>0.5</v>
      </c>
      <c r="N12" s="35">
        <v>0.2</v>
      </c>
      <c r="O12" s="104">
        <v>0.5</v>
      </c>
      <c r="P12" s="105">
        <v>0.22500000000000001</v>
      </c>
      <c r="Q12" s="34">
        <v>0.375</v>
      </c>
      <c r="R12" s="35">
        <v>0.22500000000000001</v>
      </c>
      <c r="S12" s="104">
        <v>0.375</v>
      </c>
      <c r="T12" s="105">
        <v>0.15</v>
      </c>
      <c r="U12" s="34">
        <v>0.5</v>
      </c>
      <c r="V12" s="35">
        <v>0.2</v>
      </c>
      <c r="W12" s="34">
        <v>0.5</v>
      </c>
      <c r="X12" s="35">
        <v>0.2</v>
      </c>
      <c r="Y12" s="35"/>
      <c r="Z12" s="119">
        <f t="shared" si="18"/>
        <v>0.2</v>
      </c>
      <c r="AA12" s="35">
        <f t="shared" si="0"/>
        <v>0.15</v>
      </c>
      <c r="AB12" s="33">
        <f t="shared" si="19"/>
        <v>6.5000000000000002E-2</v>
      </c>
      <c r="AC12" s="36">
        <f t="shared" si="20"/>
        <v>0</v>
      </c>
      <c r="AD12" s="119">
        <f t="shared" si="21"/>
        <v>0.2</v>
      </c>
      <c r="AE12" s="36"/>
      <c r="AF12" s="36" t="e">
        <f t="shared" ca="1" si="1"/>
        <v>#REF!</v>
      </c>
      <c r="AG12" s="36" t="e">
        <f t="shared" ca="1" si="2"/>
        <v>#REF!</v>
      </c>
      <c r="AH12" s="28" t="e">
        <f t="shared" ca="1" si="3"/>
        <v>#REF!</v>
      </c>
      <c r="AI12" s="36" t="e">
        <f t="shared" ca="1" si="4"/>
        <v>#REF!</v>
      </c>
      <c r="AJ12" s="33" t="e">
        <f t="shared" ca="1" si="5"/>
        <v>#REF!</v>
      </c>
      <c r="AL12" s="103" t="e">
        <f t="shared" ca="1" si="6"/>
        <v>#REF!</v>
      </c>
      <c r="AM12" s="106" t="e">
        <f t="shared" ca="1" si="7"/>
        <v>#REF!</v>
      </c>
      <c r="AN12" s="103" t="e">
        <f t="shared" ca="1" si="8"/>
        <v>#REF!</v>
      </c>
      <c r="AO12" s="106" t="e">
        <f t="shared" ca="1" si="9"/>
        <v>#REF!</v>
      </c>
      <c r="AP12" s="106"/>
      <c r="AQ12" s="106" t="e">
        <f t="shared" ca="1" si="10"/>
        <v>#REF!</v>
      </c>
      <c r="AR12" s="106" t="e">
        <f t="shared" ca="1" si="11"/>
        <v>#REF!</v>
      </c>
      <c r="AS12" s="106" t="e">
        <f t="shared" ca="1" si="12"/>
        <v>#REF!</v>
      </c>
      <c r="AT12" s="106" t="e">
        <f t="shared" ca="1" si="13"/>
        <v>#REF!</v>
      </c>
      <c r="AU12" s="106" t="e">
        <f t="shared" ca="1" si="16"/>
        <v>#REF!</v>
      </c>
      <c r="AV12" s="106"/>
      <c r="AX12" s="27">
        <f t="shared" ca="1" si="14"/>
        <v>0</v>
      </c>
      <c r="AY12" s="27">
        <f t="shared" ca="1" si="15"/>
        <v>30.25</v>
      </c>
    </row>
    <row r="13" spans="2:51">
      <c r="B13" s="33">
        <f t="shared" si="17"/>
        <v>5</v>
      </c>
      <c r="C13" s="34">
        <v>0.375</v>
      </c>
      <c r="D13" s="35">
        <v>0.25</v>
      </c>
      <c r="E13" s="104">
        <v>0.625</v>
      </c>
      <c r="F13" s="105">
        <v>4</v>
      </c>
      <c r="G13" s="104">
        <v>0.625</v>
      </c>
      <c r="H13" s="105">
        <v>0.25</v>
      </c>
      <c r="I13" s="34">
        <v>0.5</v>
      </c>
      <c r="J13" s="35">
        <v>0.2</v>
      </c>
      <c r="K13" s="34">
        <v>0</v>
      </c>
      <c r="L13" s="35">
        <v>0</v>
      </c>
      <c r="M13" s="34">
        <v>0.5</v>
      </c>
      <c r="N13" s="35">
        <v>0.2</v>
      </c>
      <c r="O13" s="104">
        <v>0.625</v>
      </c>
      <c r="P13" s="105">
        <v>0.25</v>
      </c>
      <c r="Q13" s="34">
        <v>0.375</v>
      </c>
      <c r="R13" s="35">
        <v>0.22500000000000001</v>
      </c>
      <c r="S13" s="104">
        <v>0.375</v>
      </c>
      <c r="T13" s="105">
        <v>0.15</v>
      </c>
      <c r="U13" s="34">
        <v>0.5</v>
      </c>
      <c r="V13" s="35">
        <v>0.2</v>
      </c>
      <c r="W13" s="34">
        <v>0.5</v>
      </c>
      <c r="X13" s="35">
        <v>0.2</v>
      </c>
      <c r="Y13" s="35"/>
      <c r="Z13" s="119">
        <f t="shared" si="18"/>
        <v>0.2</v>
      </c>
      <c r="AA13" s="35">
        <f t="shared" si="0"/>
        <v>0.15</v>
      </c>
      <c r="AB13" s="33">
        <f t="shared" si="19"/>
        <v>6.5000000000000002E-2</v>
      </c>
      <c r="AC13" s="36">
        <f t="shared" si="20"/>
        <v>0</v>
      </c>
      <c r="AD13" s="119">
        <f t="shared" si="21"/>
        <v>0.2</v>
      </c>
      <c r="AE13" s="36"/>
      <c r="AF13" s="36" t="e">
        <f t="shared" ca="1" si="1"/>
        <v>#REF!</v>
      </c>
      <c r="AG13" s="36" t="e">
        <f t="shared" ca="1" si="2"/>
        <v>#REF!</v>
      </c>
      <c r="AH13" s="28" t="e">
        <f t="shared" ca="1" si="3"/>
        <v>#REF!</v>
      </c>
      <c r="AI13" s="36" t="e">
        <f t="shared" ca="1" si="4"/>
        <v>#REF!</v>
      </c>
      <c r="AJ13" s="33" t="e">
        <f t="shared" ca="1" si="5"/>
        <v>#REF!</v>
      </c>
      <c r="AL13" s="103" t="e">
        <f t="shared" ca="1" si="6"/>
        <v>#REF!</v>
      </c>
      <c r="AM13" s="106" t="e">
        <f t="shared" ca="1" si="7"/>
        <v>#REF!</v>
      </c>
      <c r="AN13" s="103" t="e">
        <f t="shared" ca="1" si="8"/>
        <v>#REF!</v>
      </c>
      <c r="AO13" s="106" t="e">
        <f t="shared" ca="1" si="9"/>
        <v>#REF!</v>
      </c>
      <c r="AP13" s="106"/>
      <c r="AQ13" s="106" t="e">
        <f t="shared" ca="1" si="10"/>
        <v>#REF!</v>
      </c>
      <c r="AR13" s="106" t="e">
        <f t="shared" ca="1" si="11"/>
        <v>#REF!</v>
      </c>
      <c r="AS13" s="106" t="e">
        <f t="shared" ca="1" si="12"/>
        <v>#REF!</v>
      </c>
      <c r="AT13" s="106" t="e">
        <f t="shared" ca="1" si="13"/>
        <v>#REF!</v>
      </c>
      <c r="AU13" s="106" t="e">
        <f t="shared" ca="1" si="16"/>
        <v>#REF!</v>
      </c>
      <c r="AV13" s="106"/>
      <c r="AX13" s="27" t="e">
        <f t="shared" ca="1" si="14"/>
        <v>#REF!</v>
      </c>
      <c r="AY13" s="27" t="e">
        <f t="shared" ca="1" si="15"/>
        <v>#REF!</v>
      </c>
    </row>
    <row r="14" spans="2:51">
      <c r="B14" s="33">
        <f t="shared" si="17"/>
        <v>5.5</v>
      </c>
      <c r="C14" s="34">
        <v>0.375</v>
      </c>
      <c r="D14" s="35">
        <v>0.25</v>
      </c>
      <c r="E14" s="104">
        <v>0.625</v>
      </c>
      <c r="F14" s="105">
        <v>4</v>
      </c>
      <c r="G14" s="104">
        <v>0.625</v>
      </c>
      <c r="H14" s="105">
        <v>0.25</v>
      </c>
      <c r="I14" s="34">
        <v>0.625</v>
      </c>
      <c r="J14" s="35">
        <v>0.25</v>
      </c>
      <c r="K14" s="34">
        <v>0</v>
      </c>
      <c r="L14" s="35">
        <v>0</v>
      </c>
      <c r="M14" s="34">
        <v>0.625</v>
      </c>
      <c r="N14" s="35">
        <v>0.25</v>
      </c>
      <c r="O14" s="104">
        <v>0.625</v>
      </c>
      <c r="P14" s="105">
        <v>0.25</v>
      </c>
      <c r="Q14" s="34">
        <v>0.375</v>
      </c>
      <c r="R14" s="35">
        <v>0.2</v>
      </c>
      <c r="S14" s="104">
        <v>0.375</v>
      </c>
      <c r="T14" s="105">
        <v>0.17499999999999999</v>
      </c>
      <c r="U14" s="34">
        <v>0.625</v>
      </c>
      <c r="V14" s="35">
        <v>0.25</v>
      </c>
      <c r="W14" s="34">
        <v>0.625</v>
      </c>
      <c r="X14" s="35">
        <v>0.25</v>
      </c>
      <c r="Y14" s="35"/>
      <c r="Z14" s="119">
        <f t="shared" si="18"/>
        <v>0.2</v>
      </c>
      <c r="AA14" s="35">
        <f t="shared" si="0"/>
        <v>0.15</v>
      </c>
      <c r="AB14" s="33">
        <f t="shared" si="19"/>
        <v>6.5000000000000002E-2</v>
      </c>
      <c r="AC14" s="36">
        <f t="shared" si="20"/>
        <v>0</v>
      </c>
      <c r="AD14" s="119">
        <f t="shared" si="21"/>
        <v>0.2</v>
      </c>
      <c r="AE14" s="36"/>
      <c r="AF14" s="36">
        <f t="shared" ca="1" si="1"/>
        <v>0</v>
      </c>
      <c r="AG14" s="36">
        <f t="shared" ca="1" si="2"/>
        <v>0.65</v>
      </c>
      <c r="AH14" s="28">
        <f t="shared" ca="1" si="3"/>
        <v>0</v>
      </c>
      <c r="AI14" s="36">
        <f t="shared" ca="1" si="4"/>
        <v>1</v>
      </c>
      <c r="AJ14" s="33">
        <f t="shared" ca="1" si="5"/>
        <v>5.5</v>
      </c>
      <c r="AL14" s="103">
        <f ca="1">INDIRECT("H"&amp;B14*10&amp;"!"&amp;"T207")</f>
        <v>0</v>
      </c>
      <c r="AM14" s="106">
        <f ca="1">INDIRECT("H"&amp;B14*10&amp;"!"&amp;"U207")</f>
        <v>0</v>
      </c>
      <c r="AN14" s="103">
        <f ca="1">INDIRECT("H"&amp;B14*10&amp;"!"&amp;"AC207")</f>
        <v>0</v>
      </c>
      <c r="AO14" s="106">
        <f ca="1">INDIRECT("H"&amp;B14*10&amp;"!"&amp;"AF207")</f>
        <v>0</v>
      </c>
      <c r="AP14" s="106"/>
      <c r="AQ14" s="106">
        <f ca="1">INDIRECT("H"&amp;B14*10&amp;"!"&amp;"s195")</f>
        <v>0</v>
      </c>
      <c r="AR14" s="106">
        <f ca="1">INDIRECT("H"&amp;B14*10&amp;"!"&amp;"T195")</f>
        <v>0</v>
      </c>
      <c r="AS14" s="106">
        <f ca="1">INDIRECT("H"&amp;B14*10&amp;"!"&amp;"U195")</f>
        <v>0</v>
      </c>
      <c r="AT14" s="106">
        <f ca="1">AS14*(AQ14+AR14)/2</f>
        <v>0</v>
      </c>
      <c r="AU14" s="106">
        <f t="shared" ca="1" si="16"/>
        <v>1</v>
      </c>
      <c r="AV14" s="106"/>
      <c r="AX14" s="27" t="e">
        <f t="shared" ca="1" si="14"/>
        <v>#REF!</v>
      </c>
      <c r="AY14" s="27" t="e">
        <f t="shared" ca="1" si="15"/>
        <v>#REF!</v>
      </c>
    </row>
    <row r="15" spans="2:51">
      <c r="B15" s="33">
        <f t="shared" si="17"/>
        <v>6</v>
      </c>
      <c r="C15" s="34">
        <v>0.375</v>
      </c>
      <c r="D15" s="35">
        <v>0.25</v>
      </c>
      <c r="E15" s="104">
        <v>0.75</v>
      </c>
      <c r="F15" s="105">
        <v>4</v>
      </c>
      <c r="G15" s="104">
        <v>0.625</v>
      </c>
      <c r="H15" s="105">
        <v>0.25</v>
      </c>
      <c r="I15" s="34">
        <v>0.625</v>
      </c>
      <c r="J15" s="35">
        <v>0.25</v>
      </c>
      <c r="K15" s="34">
        <v>0</v>
      </c>
      <c r="L15" s="35">
        <v>0</v>
      </c>
      <c r="M15" s="34">
        <v>0.625</v>
      </c>
      <c r="N15" s="35">
        <v>0.25</v>
      </c>
      <c r="O15" s="104">
        <v>0.625</v>
      </c>
      <c r="P15" s="105">
        <v>0.25</v>
      </c>
      <c r="Q15" s="34">
        <v>0.375</v>
      </c>
      <c r="R15" s="35">
        <v>0.17499999999999999</v>
      </c>
      <c r="S15" s="104">
        <v>0.375</v>
      </c>
      <c r="T15" s="105">
        <f>+R15</f>
        <v>0.17499999999999999</v>
      </c>
      <c r="U15" s="34">
        <v>0.625</v>
      </c>
      <c r="V15" s="35">
        <v>0.25</v>
      </c>
      <c r="W15" s="34">
        <v>0.625</v>
      </c>
      <c r="X15" s="35">
        <v>0.25</v>
      </c>
      <c r="Y15" s="35"/>
      <c r="Z15" s="119">
        <f t="shared" si="18"/>
        <v>0.25</v>
      </c>
      <c r="AA15" s="35">
        <f t="shared" si="0"/>
        <v>0.15</v>
      </c>
      <c r="AB15" s="33">
        <f t="shared" si="19"/>
        <v>6.5000000000000002E-2</v>
      </c>
      <c r="AC15" s="36">
        <f t="shared" si="20"/>
        <v>0</v>
      </c>
      <c r="AD15" s="119">
        <f t="shared" si="21"/>
        <v>0.2</v>
      </c>
      <c r="AE15" s="36"/>
      <c r="AF15" s="36" t="e">
        <f t="shared" ca="1" si="1"/>
        <v>#REF!</v>
      </c>
      <c r="AG15" s="36" t="e">
        <f t="shared" ca="1" si="2"/>
        <v>#REF!</v>
      </c>
      <c r="AH15" s="28" t="e">
        <f t="shared" ca="1" si="3"/>
        <v>#REF!</v>
      </c>
      <c r="AI15" s="36" t="e">
        <f t="shared" ca="1" si="4"/>
        <v>#REF!</v>
      </c>
      <c r="AJ15" s="33" t="e">
        <f t="shared" ca="1" si="5"/>
        <v>#REF!</v>
      </c>
      <c r="AL15" s="103" t="e">
        <f t="shared" ca="1" si="6"/>
        <v>#REF!</v>
      </c>
      <c r="AM15" s="106" t="e">
        <f t="shared" ref="AM15:AM24" ca="1" si="22">INDIRECT("H"&amp;B15*10&amp;"!"&amp;"U207")</f>
        <v>#REF!</v>
      </c>
      <c r="AN15" s="103" t="e">
        <f t="shared" ref="AN15:AN24" ca="1" si="23">INDIRECT("H"&amp;B15*10&amp;"!"&amp;"AC207")</f>
        <v>#REF!</v>
      </c>
      <c r="AO15" s="106" t="e">
        <f t="shared" ref="AO15:AO24" ca="1" si="24">INDIRECT("H"&amp;B15*10&amp;"!"&amp;"AF207")</f>
        <v>#REF!</v>
      </c>
      <c r="AP15" s="106"/>
      <c r="AQ15" s="106" t="e">
        <f t="shared" ref="AQ15:AQ24" ca="1" si="25">INDIRECT("H"&amp;B15*10&amp;"!"&amp;"s195")</f>
        <v>#REF!</v>
      </c>
      <c r="AR15" s="106" t="e">
        <f t="shared" ref="AR15:AR24" ca="1" si="26">INDIRECT("H"&amp;B15*10&amp;"!"&amp;"T195")</f>
        <v>#REF!</v>
      </c>
      <c r="AS15" s="106" t="e">
        <f t="shared" ref="AS15:AS24" ca="1" si="27">INDIRECT("H"&amp;B15*10&amp;"!"&amp;"U195")</f>
        <v>#REF!</v>
      </c>
      <c r="AT15" s="106" t="e">
        <f t="shared" ref="AT15:AT24" ca="1" si="28">AS15*(AQ15+AR15)/2</f>
        <v>#REF!</v>
      </c>
      <c r="AU15" s="106" t="e">
        <f t="shared" ca="1" si="16"/>
        <v>#REF!</v>
      </c>
      <c r="AV15" s="106"/>
      <c r="AX15" s="27" t="e">
        <f t="shared" ca="1" si="14"/>
        <v>#REF!</v>
      </c>
      <c r="AY15" s="27" t="e">
        <f t="shared" ca="1" si="15"/>
        <v>#REF!</v>
      </c>
    </row>
    <row r="16" spans="2:51">
      <c r="B16" s="33">
        <f t="shared" si="17"/>
        <v>6.5</v>
      </c>
      <c r="C16" s="34">
        <v>0.375</v>
      </c>
      <c r="D16" s="35">
        <v>0.25</v>
      </c>
      <c r="E16" s="104">
        <v>0.75</v>
      </c>
      <c r="F16" s="105">
        <v>4</v>
      </c>
      <c r="G16" s="104">
        <v>0.625</v>
      </c>
      <c r="H16" s="105">
        <v>0.25</v>
      </c>
      <c r="I16" s="34">
        <v>0.625</v>
      </c>
      <c r="J16" s="35">
        <v>0.25</v>
      </c>
      <c r="K16" s="34">
        <v>0.5</v>
      </c>
      <c r="L16" s="35">
        <v>0.25</v>
      </c>
      <c r="M16" s="34">
        <v>0.625</v>
      </c>
      <c r="N16" s="35">
        <v>0.25</v>
      </c>
      <c r="O16" s="104">
        <v>0.625</v>
      </c>
      <c r="P16" s="105">
        <v>0.25</v>
      </c>
      <c r="Q16" s="34">
        <v>0.375</v>
      </c>
      <c r="R16" s="35">
        <v>0.17499999999999999</v>
      </c>
      <c r="S16" s="104">
        <v>0.375</v>
      </c>
      <c r="T16" s="105">
        <v>0.17499999999999999</v>
      </c>
      <c r="U16" s="34">
        <v>0.625</v>
      </c>
      <c r="V16" s="35">
        <v>0.25</v>
      </c>
      <c r="W16" s="34">
        <v>0.625</v>
      </c>
      <c r="X16" s="35">
        <v>0.25</v>
      </c>
      <c r="Y16" s="35"/>
      <c r="Z16" s="119">
        <f t="shared" si="18"/>
        <v>0.25</v>
      </c>
      <c r="AA16" s="35">
        <f t="shared" si="0"/>
        <v>0.15</v>
      </c>
      <c r="AB16" s="33">
        <f t="shared" si="19"/>
        <v>6.5000000000000002E-2</v>
      </c>
      <c r="AC16" s="36" t="e">
        <f t="shared" ca="1" si="20"/>
        <v>#REF!</v>
      </c>
      <c r="AD16" s="119">
        <f t="shared" si="21"/>
        <v>0.2</v>
      </c>
      <c r="AE16" s="36"/>
      <c r="AF16" s="36" t="e">
        <f t="shared" ca="1" si="1"/>
        <v>#REF!</v>
      </c>
      <c r="AG16" s="36" t="e">
        <f t="shared" ca="1" si="2"/>
        <v>#REF!</v>
      </c>
      <c r="AH16" s="28" t="e">
        <f t="shared" ca="1" si="3"/>
        <v>#REF!</v>
      </c>
      <c r="AI16" s="36" t="e">
        <f t="shared" ca="1" si="4"/>
        <v>#REF!</v>
      </c>
      <c r="AJ16" s="33" t="e">
        <f t="shared" ca="1" si="5"/>
        <v>#REF!</v>
      </c>
      <c r="AL16" s="103" t="e">
        <f t="shared" ca="1" si="6"/>
        <v>#REF!</v>
      </c>
      <c r="AM16" s="106" t="e">
        <f t="shared" ca="1" si="22"/>
        <v>#REF!</v>
      </c>
      <c r="AN16" s="103" t="e">
        <f t="shared" ca="1" si="23"/>
        <v>#REF!</v>
      </c>
      <c r="AO16" s="106" t="e">
        <f t="shared" ca="1" si="24"/>
        <v>#REF!</v>
      </c>
      <c r="AP16" s="106"/>
      <c r="AQ16" s="106" t="e">
        <f t="shared" ca="1" si="25"/>
        <v>#REF!</v>
      </c>
      <c r="AR16" s="106" t="e">
        <f t="shared" ca="1" si="26"/>
        <v>#REF!</v>
      </c>
      <c r="AS16" s="106" t="e">
        <f t="shared" ca="1" si="27"/>
        <v>#REF!</v>
      </c>
      <c r="AT16" s="106" t="e">
        <f t="shared" ca="1" si="28"/>
        <v>#REF!</v>
      </c>
      <c r="AU16" s="106" t="e">
        <f t="shared" ca="1" si="16"/>
        <v>#REF!</v>
      </c>
      <c r="AV16" s="106"/>
      <c r="AX16" s="27" t="e">
        <f t="shared" ca="1" si="14"/>
        <v>#REF!</v>
      </c>
      <c r="AY16" s="27" t="e">
        <f t="shared" ca="1" si="15"/>
        <v>#REF!</v>
      </c>
    </row>
    <row r="17" spans="2:51">
      <c r="B17" s="33">
        <f t="shared" si="17"/>
        <v>7</v>
      </c>
      <c r="C17" s="34">
        <v>0.375</v>
      </c>
      <c r="D17" s="35">
        <v>0.25</v>
      </c>
      <c r="E17" s="104">
        <v>0.75</v>
      </c>
      <c r="F17" s="105">
        <v>5</v>
      </c>
      <c r="G17" s="104">
        <v>0.625</v>
      </c>
      <c r="H17" s="105">
        <v>0.25</v>
      </c>
      <c r="I17" s="34">
        <v>0.625</v>
      </c>
      <c r="J17" s="35">
        <v>0.25</v>
      </c>
      <c r="K17" s="34">
        <v>0.625</v>
      </c>
      <c r="L17" s="35">
        <v>0.25</v>
      </c>
      <c r="M17" s="34">
        <v>0.625</v>
      </c>
      <c r="N17" s="35">
        <v>0.25</v>
      </c>
      <c r="O17" s="104">
        <v>0.625</v>
      </c>
      <c r="P17" s="105">
        <v>0.25</v>
      </c>
      <c r="Q17" s="34">
        <v>0.375</v>
      </c>
      <c r="R17" s="35">
        <v>0.17499999999999999</v>
      </c>
      <c r="S17" s="104">
        <v>0.375</v>
      </c>
      <c r="T17" s="105">
        <v>0.2</v>
      </c>
      <c r="U17" s="34">
        <v>0.625</v>
      </c>
      <c r="V17" s="35">
        <v>0.25</v>
      </c>
      <c r="W17" s="34">
        <v>0.625</v>
      </c>
      <c r="X17" s="35">
        <v>0.25</v>
      </c>
      <c r="Y17" s="35"/>
      <c r="Z17" s="119">
        <f t="shared" si="18"/>
        <v>0.25</v>
      </c>
      <c r="AA17" s="35">
        <f t="shared" si="0"/>
        <v>0.15</v>
      </c>
      <c r="AB17" s="33">
        <f t="shared" si="19"/>
        <v>6.5000000000000002E-2</v>
      </c>
      <c r="AC17" s="36" t="e">
        <f t="shared" ca="1" si="20"/>
        <v>#REF!</v>
      </c>
      <c r="AD17" s="119">
        <f t="shared" si="21"/>
        <v>0.2</v>
      </c>
      <c r="AE17" s="36"/>
      <c r="AF17" s="36" t="e">
        <f t="shared" ca="1" si="1"/>
        <v>#REF!</v>
      </c>
      <c r="AG17" s="36" t="e">
        <f t="shared" ca="1" si="2"/>
        <v>#REF!</v>
      </c>
      <c r="AH17" s="28" t="e">
        <f t="shared" ca="1" si="3"/>
        <v>#REF!</v>
      </c>
      <c r="AI17" s="36" t="e">
        <f t="shared" ca="1" si="4"/>
        <v>#REF!</v>
      </c>
      <c r="AJ17" s="33" t="e">
        <f t="shared" ca="1" si="5"/>
        <v>#REF!</v>
      </c>
      <c r="AL17" s="103" t="e">
        <f t="shared" ca="1" si="6"/>
        <v>#REF!</v>
      </c>
      <c r="AM17" s="106" t="e">
        <f t="shared" ca="1" si="22"/>
        <v>#REF!</v>
      </c>
      <c r="AN17" s="103" t="e">
        <f t="shared" ca="1" si="23"/>
        <v>#REF!</v>
      </c>
      <c r="AO17" s="106" t="e">
        <f t="shared" ca="1" si="24"/>
        <v>#REF!</v>
      </c>
      <c r="AP17" s="106"/>
      <c r="AQ17" s="106" t="e">
        <f t="shared" ca="1" si="25"/>
        <v>#REF!</v>
      </c>
      <c r="AR17" s="106" t="e">
        <f t="shared" ca="1" si="26"/>
        <v>#REF!</v>
      </c>
      <c r="AS17" s="106" t="e">
        <f t="shared" ca="1" si="27"/>
        <v>#REF!</v>
      </c>
      <c r="AT17" s="106" t="e">
        <f t="shared" ca="1" si="28"/>
        <v>#REF!</v>
      </c>
      <c r="AU17" s="106" t="e">
        <f t="shared" ca="1" si="16"/>
        <v>#REF!</v>
      </c>
      <c r="AV17" s="106"/>
      <c r="AX17" s="27" t="e">
        <f t="shared" ca="1" si="14"/>
        <v>#REF!</v>
      </c>
      <c r="AY17" s="27" t="e">
        <f t="shared" ca="1" si="15"/>
        <v>#REF!</v>
      </c>
    </row>
    <row r="18" spans="2:51">
      <c r="B18" s="33">
        <f t="shared" si="17"/>
        <v>7.5</v>
      </c>
      <c r="C18" s="34">
        <v>0.375</v>
      </c>
      <c r="D18" s="35" t="e">
        <f t="shared" ref="D18:D24" ca="1" si="29">INDIRECT("H"&amp;B18*10&amp;"!"&amp;"F313")</f>
        <v>#REF!</v>
      </c>
      <c r="E18" s="104">
        <v>0.75</v>
      </c>
      <c r="F18" s="105">
        <v>5</v>
      </c>
      <c r="G18" s="104">
        <v>0.625</v>
      </c>
      <c r="H18" s="105">
        <v>0.25</v>
      </c>
      <c r="I18" s="34">
        <v>0.625</v>
      </c>
      <c r="J18" s="35">
        <v>0.25</v>
      </c>
      <c r="K18" s="34">
        <v>0.625</v>
      </c>
      <c r="L18" s="35">
        <v>0.25</v>
      </c>
      <c r="M18" s="34">
        <v>0.625</v>
      </c>
      <c r="N18" s="35">
        <v>0.25</v>
      </c>
      <c r="O18" s="104">
        <v>0.625</v>
      </c>
      <c r="P18" s="105">
        <v>0.25</v>
      </c>
      <c r="Q18" s="34">
        <v>0.5</v>
      </c>
      <c r="R18" s="35">
        <v>0.25</v>
      </c>
      <c r="S18" s="104">
        <v>0.375</v>
      </c>
      <c r="T18" s="105">
        <v>0.2</v>
      </c>
      <c r="U18" s="34">
        <v>0.625</v>
      </c>
      <c r="V18" s="35">
        <v>0.25</v>
      </c>
      <c r="W18" s="34">
        <v>0.625</v>
      </c>
      <c r="X18" s="35">
        <v>0.25</v>
      </c>
      <c r="Y18" s="35"/>
      <c r="Z18" s="119">
        <f t="shared" si="18"/>
        <v>0.25</v>
      </c>
      <c r="AA18" s="35">
        <f t="shared" si="0"/>
        <v>0.15</v>
      </c>
      <c r="AB18" s="33">
        <f t="shared" si="19"/>
        <v>6.5000000000000002E-2</v>
      </c>
      <c r="AC18" s="36" t="e">
        <f t="shared" ca="1" si="20"/>
        <v>#REF!</v>
      </c>
      <c r="AD18" s="119">
        <f t="shared" si="21"/>
        <v>0.2</v>
      </c>
      <c r="AE18" s="36"/>
      <c r="AF18" s="36" t="e">
        <f t="shared" ca="1" si="1"/>
        <v>#REF!</v>
      </c>
      <c r="AG18" s="36" t="e">
        <f t="shared" ca="1" si="2"/>
        <v>#REF!</v>
      </c>
      <c r="AH18" s="28" t="e">
        <f t="shared" ca="1" si="3"/>
        <v>#REF!</v>
      </c>
      <c r="AI18" s="36" t="e">
        <f t="shared" ca="1" si="4"/>
        <v>#REF!</v>
      </c>
      <c r="AJ18" s="33" t="e">
        <f t="shared" ca="1" si="5"/>
        <v>#REF!</v>
      </c>
      <c r="AL18" s="103" t="e">
        <f t="shared" ca="1" si="6"/>
        <v>#REF!</v>
      </c>
      <c r="AM18" s="106" t="e">
        <f t="shared" ca="1" si="22"/>
        <v>#REF!</v>
      </c>
      <c r="AN18" s="103" t="e">
        <f t="shared" ca="1" si="23"/>
        <v>#REF!</v>
      </c>
      <c r="AO18" s="106" t="e">
        <f t="shared" ca="1" si="24"/>
        <v>#REF!</v>
      </c>
      <c r="AP18" s="106"/>
      <c r="AQ18" s="106" t="e">
        <f t="shared" ca="1" si="25"/>
        <v>#REF!</v>
      </c>
      <c r="AR18" s="106" t="e">
        <f t="shared" ca="1" si="26"/>
        <v>#REF!</v>
      </c>
      <c r="AS18" s="106" t="e">
        <f t="shared" ca="1" si="27"/>
        <v>#REF!</v>
      </c>
      <c r="AT18" s="106" t="e">
        <f t="shared" ca="1" si="28"/>
        <v>#REF!</v>
      </c>
      <c r="AU18" s="106" t="e">
        <f t="shared" ca="1" si="16"/>
        <v>#REF!</v>
      </c>
      <c r="AV18" s="106"/>
      <c r="AX18" s="27" t="e">
        <f t="shared" ca="1" si="14"/>
        <v>#REF!</v>
      </c>
      <c r="AY18" s="27" t="e">
        <f t="shared" ca="1" si="15"/>
        <v>#REF!</v>
      </c>
    </row>
    <row r="19" spans="2:51">
      <c r="B19" s="33">
        <f t="shared" si="17"/>
        <v>8</v>
      </c>
      <c r="C19" s="34">
        <v>0.375</v>
      </c>
      <c r="D19" s="35">
        <v>0.2</v>
      </c>
      <c r="E19" s="104">
        <v>0.75</v>
      </c>
      <c r="F19" s="105">
        <v>5</v>
      </c>
      <c r="G19" s="104">
        <v>0.625</v>
      </c>
      <c r="H19" s="105">
        <v>0.2</v>
      </c>
      <c r="I19" s="34">
        <v>0.625</v>
      </c>
      <c r="J19" s="35">
        <v>0.22500000000000001</v>
      </c>
      <c r="K19" s="34">
        <v>0.625</v>
      </c>
      <c r="L19" s="35">
        <v>0.22500000000000001</v>
      </c>
      <c r="M19" s="34">
        <v>0.625</v>
      </c>
      <c r="N19" s="35">
        <v>0.22500000000000001</v>
      </c>
      <c r="O19" s="104">
        <v>0.625</v>
      </c>
      <c r="P19" s="105">
        <v>0.2</v>
      </c>
      <c r="Q19" s="34">
        <v>0.5</v>
      </c>
      <c r="R19" s="35">
        <v>0.25</v>
      </c>
      <c r="S19" s="104">
        <v>0.375</v>
      </c>
      <c r="T19" s="105">
        <v>0.2</v>
      </c>
      <c r="U19" s="34">
        <v>0.625</v>
      </c>
      <c r="V19" s="35">
        <v>0.22500000000000001</v>
      </c>
      <c r="W19" s="34">
        <v>0.625</v>
      </c>
      <c r="X19" s="35">
        <v>0.22500000000000001</v>
      </c>
      <c r="Y19" s="35"/>
      <c r="Z19" s="119">
        <f t="shared" si="18"/>
        <v>0.25</v>
      </c>
      <c r="AA19" s="35">
        <f t="shared" si="0"/>
        <v>0.15</v>
      </c>
      <c r="AB19" s="33">
        <f t="shared" si="19"/>
        <v>6.5000000000000002E-2</v>
      </c>
      <c r="AC19" s="36" t="e">
        <f t="shared" ca="1" si="20"/>
        <v>#REF!</v>
      </c>
      <c r="AD19" s="119">
        <f t="shared" si="21"/>
        <v>0.2</v>
      </c>
      <c r="AE19" s="36"/>
      <c r="AF19" s="36" t="e">
        <f t="shared" ca="1" si="1"/>
        <v>#REF!</v>
      </c>
      <c r="AG19" s="36" t="e">
        <f t="shared" ca="1" si="2"/>
        <v>#REF!</v>
      </c>
      <c r="AH19" s="28" t="e">
        <f t="shared" ca="1" si="3"/>
        <v>#REF!</v>
      </c>
      <c r="AI19" s="36" t="e">
        <f t="shared" ca="1" si="4"/>
        <v>#REF!</v>
      </c>
      <c r="AJ19" s="33" t="e">
        <f t="shared" ca="1" si="5"/>
        <v>#REF!</v>
      </c>
      <c r="AL19" s="103" t="e">
        <f t="shared" ca="1" si="6"/>
        <v>#REF!</v>
      </c>
      <c r="AM19" s="106" t="e">
        <f t="shared" ca="1" si="22"/>
        <v>#REF!</v>
      </c>
      <c r="AN19" s="103" t="e">
        <f t="shared" ca="1" si="23"/>
        <v>#REF!</v>
      </c>
      <c r="AO19" s="106" t="e">
        <f t="shared" ca="1" si="24"/>
        <v>#REF!</v>
      </c>
      <c r="AP19" s="106"/>
      <c r="AQ19" s="106" t="e">
        <f t="shared" ca="1" si="25"/>
        <v>#REF!</v>
      </c>
      <c r="AR19" s="106" t="e">
        <f t="shared" ca="1" si="26"/>
        <v>#REF!</v>
      </c>
      <c r="AS19" s="106" t="e">
        <f t="shared" ca="1" si="27"/>
        <v>#REF!</v>
      </c>
      <c r="AT19" s="106" t="e">
        <f t="shared" ca="1" si="28"/>
        <v>#REF!</v>
      </c>
      <c r="AU19" s="106" t="e">
        <f t="shared" ca="1" si="16"/>
        <v>#REF!</v>
      </c>
      <c r="AV19" s="106"/>
      <c r="AX19" s="27" t="e">
        <f ca="1">AF21*(AG21+AH21+AI21)*1</f>
        <v>#REF!</v>
      </c>
      <c r="AY19" s="27" t="e">
        <f ca="1">AJ21*B21*1</f>
        <v>#REF!</v>
      </c>
    </row>
    <row r="20" spans="2:51">
      <c r="B20" s="33">
        <f t="shared" si="17"/>
        <v>8.5</v>
      </c>
      <c r="C20" s="34">
        <v>0.375</v>
      </c>
      <c r="D20" s="35">
        <v>0.17499999999999999</v>
      </c>
      <c r="E20" s="120" t="e">
        <f ca="1">INDIRECT("H"&amp;B20*10&amp;"!"&amp;"E312")</f>
        <v>#REF!</v>
      </c>
      <c r="F20" s="105">
        <v>4</v>
      </c>
      <c r="G20" s="104">
        <v>0.75</v>
      </c>
      <c r="H20" s="105">
        <v>0.25</v>
      </c>
      <c r="I20" s="34">
        <v>0.625</v>
      </c>
      <c r="J20" s="35">
        <v>0.2</v>
      </c>
      <c r="K20" s="34">
        <v>0.625</v>
      </c>
      <c r="L20" s="35">
        <v>0.3</v>
      </c>
      <c r="M20" s="34">
        <v>0.625</v>
      </c>
      <c r="N20" s="35">
        <v>0.2</v>
      </c>
      <c r="O20" s="104">
        <v>0.75</v>
      </c>
      <c r="P20" s="105">
        <v>0.25</v>
      </c>
      <c r="Q20" s="34">
        <v>0.5</v>
      </c>
      <c r="R20" s="35">
        <v>0.22500000000000001</v>
      </c>
      <c r="S20" s="104">
        <v>0.375</v>
      </c>
      <c r="T20" s="105">
        <v>0.2</v>
      </c>
      <c r="U20" s="34">
        <v>0.625</v>
      </c>
      <c r="V20" s="35">
        <v>0.2</v>
      </c>
      <c r="W20" s="34">
        <v>0.625</v>
      </c>
      <c r="X20" s="35">
        <v>0.2</v>
      </c>
      <c r="Y20" s="35"/>
      <c r="Z20" s="119" t="e">
        <f t="shared" ca="1" si="18"/>
        <v>#REF!</v>
      </c>
      <c r="AA20" s="35">
        <f t="shared" si="0"/>
        <v>0.15</v>
      </c>
      <c r="AB20" s="33">
        <f t="shared" si="19"/>
        <v>6.5000000000000002E-2</v>
      </c>
      <c r="AC20" s="36" t="e">
        <f t="shared" ca="1" si="20"/>
        <v>#REF!</v>
      </c>
      <c r="AD20" s="119">
        <f t="shared" si="21"/>
        <v>0.25</v>
      </c>
      <c r="AE20" s="36"/>
      <c r="AF20" s="36" t="e">
        <f t="shared" ca="1" si="1"/>
        <v>#REF!</v>
      </c>
      <c r="AG20" s="36" t="e">
        <f t="shared" ca="1" si="2"/>
        <v>#REF!</v>
      </c>
      <c r="AH20" s="28" t="e">
        <f t="shared" ca="1" si="3"/>
        <v>#REF!</v>
      </c>
      <c r="AI20" s="36" t="e">
        <f t="shared" ca="1" si="4"/>
        <v>#REF!</v>
      </c>
      <c r="AJ20" s="33" t="e">
        <f t="shared" ca="1" si="5"/>
        <v>#REF!</v>
      </c>
      <c r="AL20" s="103" t="e">
        <f t="shared" ca="1" si="6"/>
        <v>#REF!</v>
      </c>
      <c r="AM20" s="106" t="e">
        <f t="shared" ca="1" si="22"/>
        <v>#REF!</v>
      </c>
      <c r="AN20" s="103" t="e">
        <f t="shared" ca="1" si="23"/>
        <v>#REF!</v>
      </c>
      <c r="AO20" s="106" t="e">
        <f t="shared" ca="1" si="24"/>
        <v>#REF!</v>
      </c>
      <c r="AP20" s="106"/>
      <c r="AQ20" s="106" t="e">
        <f t="shared" ca="1" si="25"/>
        <v>#REF!</v>
      </c>
      <c r="AR20" s="106" t="e">
        <f t="shared" ca="1" si="26"/>
        <v>#REF!</v>
      </c>
      <c r="AS20" s="106" t="e">
        <f t="shared" ca="1" si="27"/>
        <v>#REF!</v>
      </c>
      <c r="AT20" s="106" t="e">
        <f t="shared" ca="1" si="28"/>
        <v>#REF!</v>
      </c>
      <c r="AU20" s="106" t="e">
        <f t="shared" ca="1" si="16"/>
        <v>#REF!</v>
      </c>
      <c r="AV20" s="106"/>
      <c r="AX20" s="27"/>
    </row>
    <row r="21" spans="2:51">
      <c r="B21" s="33">
        <f t="shared" si="17"/>
        <v>9</v>
      </c>
      <c r="C21" s="34">
        <v>0.375</v>
      </c>
      <c r="D21" s="35">
        <v>0.15</v>
      </c>
      <c r="E21" s="120">
        <v>1</v>
      </c>
      <c r="F21" s="105">
        <v>4</v>
      </c>
      <c r="G21" s="104">
        <v>0.75</v>
      </c>
      <c r="H21" s="105">
        <v>0.25</v>
      </c>
      <c r="I21" s="34">
        <v>0.625</v>
      </c>
      <c r="J21" s="35">
        <v>0.2</v>
      </c>
      <c r="K21" s="34">
        <v>0.75</v>
      </c>
      <c r="L21" s="35">
        <v>0.25</v>
      </c>
      <c r="M21" s="34">
        <v>0.625</v>
      </c>
      <c r="N21" s="35">
        <v>0.2</v>
      </c>
      <c r="O21" s="104">
        <v>0.75</v>
      </c>
      <c r="P21" s="105">
        <v>0.25</v>
      </c>
      <c r="Q21" s="34">
        <v>0.5</v>
      </c>
      <c r="R21" s="35">
        <v>0.22500000000000001</v>
      </c>
      <c r="S21" s="104">
        <v>0.375</v>
      </c>
      <c r="T21" s="105">
        <v>0.2</v>
      </c>
      <c r="U21" s="34">
        <v>0.625</v>
      </c>
      <c r="V21" s="35">
        <v>0.2</v>
      </c>
      <c r="W21" s="34">
        <v>0.625</v>
      </c>
      <c r="X21" s="35">
        <v>0.2</v>
      </c>
      <c r="Y21" s="35"/>
      <c r="Z21" s="119">
        <f t="shared" si="18"/>
        <v>0.35</v>
      </c>
      <c r="AA21" s="35">
        <f t="shared" si="0"/>
        <v>0.15</v>
      </c>
      <c r="AB21" s="33">
        <f t="shared" si="19"/>
        <v>6.5000000000000002E-2</v>
      </c>
      <c r="AC21" s="36" t="e">
        <f t="shared" ca="1" si="20"/>
        <v>#REF!</v>
      </c>
      <c r="AD21" s="119">
        <f t="shared" si="21"/>
        <v>0.25</v>
      </c>
      <c r="AE21" s="36"/>
      <c r="AF21" s="36" t="e">
        <f t="shared" ca="1" si="1"/>
        <v>#REF!</v>
      </c>
      <c r="AG21" s="36" t="e">
        <f t="shared" ca="1" si="2"/>
        <v>#REF!</v>
      </c>
      <c r="AH21" s="28" t="e">
        <f t="shared" ca="1" si="3"/>
        <v>#REF!</v>
      </c>
      <c r="AI21" s="36" t="e">
        <f t="shared" ca="1" si="4"/>
        <v>#REF!</v>
      </c>
      <c r="AJ21" s="33" t="e">
        <f t="shared" ca="1" si="5"/>
        <v>#REF!</v>
      </c>
      <c r="AL21" s="103" t="e">
        <f t="shared" ca="1" si="6"/>
        <v>#REF!</v>
      </c>
      <c r="AM21" s="106" t="e">
        <f t="shared" ca="1" si="22"/>
        <v>#REF!</v>
      </c>
      <c r="AN21" s="103" t="e">
        <f t="shared" ca="1" si="23"/>
        <v>#REF!</v>
      </c>
      <c r="AO21" s="106" t="e">
        <f t="shared" ca="1" si="24"/>
        <v>#REF!</v>
      </c>
      <c r="AP21" s="106"/>
      <c r="AQ21" s="106" t="e">
        <f t="shared" ca="1" si="25"/>
        <v>#REF!</v>
      </c>
      <c r="AR21" s="106" t="e">
        <f t="shared" ca="1" si="26"/>
        <v>#REF!</v>
      </c>
      <c r="AS21" s="106" t="e">
        <f t="shared" ca="1" si="27"/>
        <v>#REF!</v>
      </c>
      <c r="AT21" s="106" t="e">
        <f t="shared" ca="1" si="28"/>
        <v>#REF!</v>
      </c>
      <c r="AU21" s="106" t="e">
        <f t="shared" ca="1" si="16"/>
        <v>#REF!</v>
      </c>
      <c r="AV21" s="106"/>
      <c r="AX21" s="27"/>
    </row>
    <row r="22" spans="2:51" hidden="1">
      <c r="B22" s="33">
        <f>B21+0.5</f>
        <v>9.5</v>
      </c>
      <c r="C22" s="34" t="e">
        <f ca="1">INDIRECT("H"&amp;B22*10&amp;"!"&amp;"E313")</f>
        <v>#REF!</v>
      </c>
      <c r="D22" s="35" t="e">
        <f t="shared" ca="1" si="29"/>
        <v>#REF!</v>
      </c>
      <c r="E22" s="34" t="e">
        <f ca="1">INDIRECT("H"&amp;B22*10&amp;"!"&amp;"E312")</f>
        <v>#REF!</v>
      </c>
      <c r="F22" s="35" t="e">
        <f ca="1">INDIRECT("H"&amp;B22*10&amp;"!"&amp;"F312")</f>
        <v>#REF!</v>
      </c>
      <c r="G22" s="34" t="e">
        <f ca="1">INDIRECT("H"&amp;B22*10&amp;"!"&amp;"E341")</f>
        <v>#REF!</v>
      </c>
      <c r="H22" s="35" t="e">
        <f ca="1">INDIRECT("H"&amp;B22*10&amp;"!"&amp;"H341")</f>
        <v>#REF!</v>
      </c>
      <c r="I22" s="34" t="e">
        <f ca="1">INDIRECT("H"&amp;B22*10&amp;"!"&amp;"E373")</f>
        <v>#REF!</v>
      </c>
      <c r="J22" s="35" t="e">
        <f ca="1">INDIRECT("H"&amp;B22*10&amp;"!"&amp;"F373")</f>
        <v>#REF!</v>
      </c>
      <c r="K22" s="34" t="e">
        <f ca="1">INDIRECT("H"&amp;B22*10&amp;"!"&amp;"E372")</f>
        <v>#REF!</v>
      </c>
      <c r="L22" s="35" t="e">
        <f ca="1">INDIRECT("H"&amp;B22*10&amp;"!"&amp;"F372")</f>
        <v>#REF!</v>
      </c>
      <c r="M22" s="34" t="e">
        <f ca="1">INDIRECT("H"&amp;B22*10&amp;"!"&amp;"E439")</f>
        <v>#REF!</v>
      </c>
      <c r="N22" s="35" t="e">
        <f ca="1">INDIRECT("H"&amp;B22*10&amp;"!"&amp;"F439")</f>
        <v>#REF!</v>
      </c>
      <c r="O22" s="34" t="e">
        <f ca="1">INDIRECT("H"&amp;B22*10&amp;"!"&amp;"E438")</f>
        <v>#REF!</v>
      </c>
      <c r="P22" s="35" t="e">
        <f ca="1">INDIRECT("H"&amp;B22*10&amp;"!"&amp;"F438")</f>
        <v>#REF!</v>
      </c>
      <c r="Q22" s="34" t="e">
        <f t="shared" ref="Q22:R24" ca="1" si="30">+G22</f>
        <v>#REF!</v>
      </c>
      <c r="R22" s="35" t="e">
        <f t="shared" ca="1" si="30"/>
        <v>#REF!</v>
      </c>
      <c r="S22" s="34" t="e">
        <f t="shared" ref="S22:T24" ca="1" si="31">+Q22</f>
        <v>#REF!</v>
      </c>
      <c r="T22" s="35" t="e">
        <f t="shared" ca="1" si="31"/>
        <v>#REF!</v>
      </c>
      <c r="U22" s="34" t="e">
        <f ca="1">INDIRECT("H"&amp;B22*10&amp;"!"&amp;"E465")</f>
        <v>#REF!</v>
      </c>
      <c r="V22" s="35" t="e">
        <f ca="1">INDIRECT("H"&amp;B22*10&amp;"!"&amp;"h465")</f>
        <v>#REF!</v>
      </c>
      <c r="W22" s="35" t="e">
        <f t="shared" ref="W22:X24" ca="1" si="32">+U22</f>
        <v>#REF!</v>
      </c>
      <c r="X22" s="35" t="e">
        <f t="shared" ca="1" si="32"/>
        <v>#REF!</v>
      </c>
      <c r="Y22" s="35"/>
      <c r="Z22" s="36" t="e">
        <f ca="1">IF(INDIRECT("H"&amp;B22*10&amp;"!"&amp;"G312")=0,0,INDIRECT("H"&amp;B22*10&amp;"!"&amp;"G312")+VLOOKUP(E22,$AG$54:$AM$59,7,0))</f>
        <v>#REF!</v>
      </c>
      <c r="AA22" s="35" t="e">
        <f t="shared" ca="1" si="0"/>
        <v>#REF!</v>
      </c>
      <c r="AB22" s="33" t="e">
        <f ca="1">+AF22-(0.075+(C22*2.54/2)/100)</f>
        <v>#REF!</v>
      </c>
      <c r="AC22" s="36" t="e">
        <f ca="1">IF(INDIRECT("H"&amp;B22*10&amp;"!"&amp;"G372")=0,0,INDIRECT("H"&amp;B22*10&amp;"!"&amp;"G372")+2*VLOOKUP(K22,$AG$54:$AM$59,7,0))</f>
        <v>#REF!</v>
      </c>
      <c r="AD22" s="36" t="e">
        <f ca="1">IF(INDIRECT("H"&amp;B22*10&amp;"!"&amp;"G438")=0,0,INDIRECT("H"&amp;B22*10&amp;"!"&amp;"G438")+2*VLOOKUP(O22,$AG$54:$AM$59,7,0))</f>
        <v>#REF!</v>
      </c>
      <c r="AE22" s="36"/>
      <c r="AF22" s="36" t="e">
        <f t="shared" ca="1" si="1"/>
        <v>#REF!</v>
      </c>
      <c r="AG22" s="36" t="e">
        <f t="shared" ca="1" si="2"/>
        <v>#REF!</v>
      </c>
      <c r="AH22" s="28" t="e">
        <f t="shared" ca="1" si="3"/>
        <v>#REF!</v>
      </c>
      <c r="AI22" s="36" t="e">
        <f t="shared" ca="1" si="4"/>
        <v>#REF!</v>
      </c>
      <c r="AJ22" s="33" t="e">
        <f t="shared" ca="1" si="5"/>
        <v>#REF!</v>
      </c>
      <c r="AL22" s="103" t="e">
        <f t="shared" ca="1" si="6"/>
        <v>#REF!</v>
      </c>
      <c r="AM22" s="106" t="e">
        <f t="shared" ca="1" si="22"/>
        <v>#REF!</v>
      </c>
      <c r="AN22" s="103" t="e">
        <f t="shared" ca="1" si="23"/>
        <v>#REF!</v>
      </c>
      <c r="AO22" s="106" t="e">
        <f t="shared" ca="1" si="24"/>
        <v>#REF!</v>
      </c>
      <c r="AP22" s="106"/>
      <c r="AQ22" s="106" t="e">
        <f t="shared" ca="1" si="25"/>
        <v>#REF!</v>
      </c>
      <c r="AR22" s="106" t="e">
        <f t="shared" ca="1" si="26"/>
        <v>#REF!</v>
      </c>
      <c r="AS22" s="106" t="e">
        <f t="shared" ca="1" si="27"/>
        <v>#REF!</v>
      </c>
      <c r="AT22" s="106" t="e">
        <f t="shared" ca="1" si="28"/>
        <v>#REF!</v>
      </c>
      <c r="AU22" s="106" t="e">
        <f t="shared" ca="1" si="16"/>
        <v>#REF!</v>
      </c>
      <c r="AV22" s="106"/>
    </row>
    <row r="23" spans="2:51" hidden="1">
      <c r="B23" s="33">
        <f t="shared" si="17"/>
        <v>10</v>
      </c>
      <c r="C23" s="34" t="e">
        <f ca="1">INDIRECT("H"&amp;B23*10&amp;"!"&amp;"E313")</f>
        <v>#REF!</v>
      </c>
      <c r="D23" s="35" t="e">
        <f t="shared" ca="1" si="29"/>
        <v>#REF!</v>
      </c>
      <c r="E23" s="34" t="e">
        <f ca="1">INDIRECT("H"&amp;B23*10&amp;"!"&amp;"E312")</f>
        <v>#REF!</v>
      </c>
      <c r="F23" s="35" t="e">
        <f ca="1">INDIRECT("H"&amp;B23*10&amp;"!"&amp;"F312")</f>
        <v>#REF!</v>
      </c>
      <c r="G23" s="34" t="e">
        <f ca="1">INDIRECT("H"&amp;B23*10&amp;"!"&amp;"E341")</f>
        <v>#REF!</v>
      </c>
      <c r="H23" s="35" t="e">
        <f ca="1">INDIRECT("H"&amp;B23*10&amp;"!"&amp;"H341")</f>
        <v>#REF!</v>
      </c>
      <c r="I23" s="34" t="e">
        <f ca="1">INDIRECT("H"&amp;B23*10&amp;"!"&amp;"E373")</f>
        <v>#REF!</v>
      </c>
      <c r="J23" s="35" t="e">
        <f ca="1">INDIRECT("H"&amp;B23*10&amp;"!"&amp;"F373")</f>
        <v>#REF!</v>
      </c>
      <c r="K23" s="34" t="e">
        <f ca="1">INDIRECT("H"&amp;B23*10&amp;"!"&amp;"E372")</f>
        <v>#REF!</v>
      </c>
      <c r="L23" s="35" t="e">
        <f ca="1">INDIRECT("H"&amp;B23*10&amp;"!"&amp;"F372")</f>
        <v>#REF!</v>
      </c>
      <c r="M23" s="34" t="e">
        <f ca="1">INDIRECT("H"&amp;B23*10&amp;"!"&amp;"E439")</f>
        <v>#REF!</v>
      </c>
      <c r="N23" s="35" t="e">
        <f ca="1">INDIRECT("H"&amp;B23*10&amp;"!"&amp;"F439")</f>
        <v>#REF!</v>
      </c>
      <c r="O23" s="34" t="e">
        <f ca="1">INDIRECT("H"&amp;B23*10&amp;"!"&amp;"E438")</f>
        <v>#REF!</v>
      </c>
      <c r="P23" s="35" t="e">
        <f ca="1">INDIRECT("H"&amp;B23*10&amp;"!"&amp;"F438")</f>
        <v>#REF!</v>
      </c>
      <c r="Q23" s="34" t="e">
        <f t="shared" ca="1" si="30"/>
        <v>#REF!</v>
      </c>
      <c r="R23" s="35" t="e">
        <f t="shared" ca="1" si="30"/>
        <v>#REF!</v>
      </c>
      <c r="S23" s="34" t="e">
        <f t="shared" ca="1" si="31"/>
        <v>#REF!</v>
      </c>
      <c r="T23" s="35" t="e">
        <f t="shared" ca="1" si="31"/>
        <v>#REF!</v>
      </c>
      <c r="U23" s="34" t="e">
        <f ca="1">INDIRECT("H"&amp;B23*10&amp;"!"&amp;"E465")</f>
        <v>#REF!</v>
      </c>
      <c r="V23" s="35" t="e">
        <f ca="1">INDIRECT("H"&amp;B23*10&amp;"!"&amp;"h465")</f>
        <v>#REF!</v>
      </c>
      <c r="W23" s="35" t="e">
        <f t="shared" ca="1" si="32"/>
        <v>#REF!</v>
      </c>
      <c r="X23" s="35" t="e">
        <f t="shared" ca="1" si="32"/>
        <v>#REF!</v>
      </c>
      <c r="Y23" s="35"/>
      <c r="Z23" s="36" t="e">
        <f ca="1">IF(INDIRECT("H"&amp;B23*10&amp;"!"&amp;"G312")=0,0,INDIRECT("H"&amp;B23*10&amp;"!"&amp;"G312")+VLOOKUP(E23,$AG$54:$AM$59,7,0))</f>
        <v>#REF!</v>
      </c>
      <c r="AA23" s="35" t="e">
        <f t="shared" ca="1" si="0"/>
        <v>#REF!</v>
      </c>
      <c r="AB23" s="33" t="e">
        <f ca="1">+AF23-(0.075+(C23*2.54/2)/100)</f>
        <v>#REF!</v>
      </c>
      <c r="AC23" s="36" t="e">
        <f ca="1">IF(INDIRECT("H"&amp;B23*10&amp;"!"&amp;"G372")=0,0,INDIRECT("H"&amp;B23*10&amp;"!"&amp;"G372")+2*VLOOKUP(K23,$AG$54:$AM$59,7,0))</f>
        <v>#REF!</v>
      </c>
      <c r="AD23" s="36" t="e">
        <f ca="1">IF(INDIRECT("H"&amp;B23*10&amp;"!"&amp;"G438")=0,0,INDIRECT("H"&amp;B23*10&amp;"!"&amp;"G438")+2*VLOOKUP(O23,$AG$54:$AM$59,7,0))</f>
        <v>#REF!</v>
      </c>
      <c r="AE23" s="36"/>
      <c r="AF23" s="36" t="e">
        <f t="shared" ca="1" si="1"/>
        <v>#REF!</v>
      </c>
      <c r="AG23" s="36" t="e">
        <f t="shared" ca="1" si="2"/>
        <v>#REF!</v>
      </c>
      <c r="AH23" s="28" t="e">
        <f t="shared" ca="1" si="3"/>
        <v>#REF!</v>
      </c>
      <c r="AI23" s="36" t="e">
        <f t="shared" ca="1" si="4"/>
        <v>#REF!</v>
      </c>
      <c r="AJ23" s="33" t="e">
        <f t="shared" ca="1" si="5"/>
        <v>#REF!</v>
      </c>
      <c r="AL23" s="103" t="e">
        <f t="shared" ca="1" si="6"/>
        <v>#REF!</v>
      </c>
      <c r="AM23" s="106" t="e">
        <f t="shared" ca="1" si="22"/>
        <v>#REF!</v>
      </c>
      <c r="AN23" s="103" t="e">
        <f t="shared" ca="1" si="23"/>
        <v>#REF!</v>
      </c>
      <c r="AO23" s="106" t="e">
        <f t="shared" ca="1" si="24"/>
        <v>#REF!</v>
      </c>
      <c r="AP23" s="106"/>
      <c r="AQ23" s="106" t="e">
        <f t="shared" ca="1" si="25"/>
        <v>#REF!</v>
      </c>
      <c r="AR23" s="106" t="e">
        <f t="shared" ca="1" si="26"/>
        <v>#REF!</v>
      </c>
      <c r="AS23" s="106" t="e">
        <f t="shared" ca="1" si="27"/>
        <v>#REF!</v>
      </c>
      <c r="AT23" s="106" t="e">
        <f t="shared" ca="1" si="28"/>
        <v>#REF!</v>
      </c>
      <c r="AU23" s="106" t="e">
        <f t="shared" ca="1" si="16"/>
        <v>#REF!</v>
      </c>
      <c r="AV23" s="106"/>
    </row>
    <row r="24" spans="2:51" hidden="1">
      <c r="B24" s="33">
        <f>B23+0.5</f>
        <v>10.5</v>
      </c>
      <c r="C24" s="34" t="e">
        <f ca="1">INDIRECT("H"&amp;B24*10&amp;"!"&amp;"E313")</f>
        <v>#REF!</v>
      </c>
      <c r="D24" s="35" t="e">
        <f t="shared" ca="1" si="29"/>
        <v>#REF!</v>
      </c>
      <c r="E24" s="34" t="e">
        <f ca="1">INDIRECT("H"&amp;B24*10&amp;"!"&amp;"E312")</f>
        <v>#REF!</v>
      </c>
      <c r="F24" s="35" t="e">
        <f ca="1">INDIRECT("H"&amp;B24*10&amp;"!"&amp;"F312")</f>
        <v>#REF!</v>
      </c>
      <c r="G24" s="34" t="e">
        <f ca="1">INDIRECT("H"&amp;B24*10&amp;"!"&amp;"E341")</f>
        <v>#REF!</v>
      </c>
      <c r="H24" s="35" t="e">
        <f ca="1">INDIRECT("H"&amp;B24*10&amp;"!"&amp;"H341")</f>
        <v>#REF!</v>
      </c>
      <c r="I24" s="34" t="e">
        <f ca="1">INDIRECT("H"&amp;B24*10&amp;"!"&amp;"E373")</f>
        <v>#REF!</v>
      </c>
      <c r="J24" s="35" t="e">
        <f ca="1">INDIRECT("H"&amp;B24*10&amp;"!"&amp;"F373")</f>
        <v>#REF!</v>
      </c>
      <c r="K24" s="34" t="e">
        <f ca="1">INDIRECT("H"&amp;B24*10&amp;"!"&amp;"E372")</f>
        <v>#REF!</v>
      </c>
      <c r="L24" s="35" t="e">
        <f ca="1">INDIRECT("H"&amp;B24*10&amp;"!"&amp;"F372")</f>
        <v>#REF!</v>
      </c>
      <c r="M24" s="34" t="e">
        <f ca="1">INDIRECT("H"&amp;B24*10&amp;"!"&amp;"E439")</f>
        <v>#REF!</v>
      </c>
      <c r="N24" s="35" t="e">
        <f ca="1">INDIRECT("H"&amp;B24*10&amp;"!"&amp;"F439")</f>
        <v>#REF!</v>
      </c>
      <c r="O24" s="34" t="e">
        <f ca="1">INDIRECT("H"&amp;B24*10&amp;"!"&amp;"E438")</f>
        <v>#REF!</v>
      </c>
      <c r="P24" s="35" t="e">
        <f ca="1">INDIRECT("H"&amp;B24*10&amp;"!"&amp;"F438")</f>
        <v>#REF!</v>
      </c>
      <c r="Q24" s="34" t="e">
        <f t="shared" ca="1" si="30"/>
        <v>#REF!</v>
      </c>
      <c r="R24" s="35" t="e">
        <f t="shared" ca="1" si="30"/>
        <v>#REF!</v>
      </c>
      <c r="S24" s="34" t="e">
        <f t="shared" ca="1" si="31"/>
        <v>#REF!</v>
      </c>
      <c r="T24" s="35" t="e">
        <f t="shared" ca="1" si="31"/>
        <v>#REF!</v>
      </c>
      <c r="U24" s="34" t="e">
        <f ca="1">INDIRECT("H"&amp;B24*10&amp;"!"&amp;"E465")</f>
        <v>#REF!</v>
      </c>
      <c r="V24" s="35" t="e">
        <f ca="1">INDIRECT("H"&amp;B24*10&amp;"!"&amp;"h465")</f>
        <v>#REF!</v>
      </c>
      <c r="W24" s="35" t="e">
        <f t="shared" ca="1" si="32"/>
        <v>#REF!</v>
      </c>
      <c r="X24" s="35" t="e">
        <f t="shared" ca="1" si="32"/>
        <v>#REF!</v>
      </c>
      <c r="Y24" s="35"/>
      <c r="Z24" s="36" t="e">
        <f ca="1">IF(INDIRECT("H"&amp;B24*10&amp;"!"&amp;"G312")=0,0,INDIRECT("H"&amp;B24*10&amp;"!"&amp;"G312")+VLOOKUP(E24,$AG$54:$AM$59,7,0))</f>
        <v>#REF!</v>
      </c>
      <c r="AA24" s="35" t="e">
        <f t="shared" ca="1" si="0"/>
        <v>#REF!</v>
      </c>
      <c r="AB24" s="33" t="e">
        <f ca="1">+AF24-(0.075+(C24*2.54/2)/100)</f>
        <v>#REF!</v>
      </c>
      <c r="AC24" s="36" t="e">
        <f ca="1">IF(INDIRECT("H"&amp;B24*10&amp;"!"&amp;"G372")=0,0,INDIRECT("H"&amp;B24*10&amp;"!"&amp;"G372")+2*VLOOKUP(K24,$AG$54:$AM$59,7,0))</f>
        <v>#REF!</v>
      </c>
      <c r="AD24" s="36" t="e">
        <f ca="1">IF(INDIRECT("H"&amp;B24*10&amp;"!"&amp;"G438")=0,0,INDIRECT("H"&amp;B24*10&amp;"!"&amp;"G438")+2*VLOOKUP(O24,$AG$54:$AM$59,7,0))</f>
        <v>#REF!</v>
      </c>
      <c r="AE24" s="36"/>
      <c r="AF24" s="36" t="e">
        <f t="shared" ca="1" si="1"/>
        <v>#REF!</v>
      </c>
      <c r="AG24" s="36" t="e">
        <f t="shared" ca="1" si="2"/>
        <v>#REF!</v>
      </c>
      <c r="AH24" s="28" t="e">
        <f t="shared" ca="1" si="3"/>
        <v>#REF!</v>
      </c>
      <c r="AI24" s="36" t="e">
        <f t="shared" ca="1" si="4"/>
        <v>#REF!</v>
      </c>
      <c r="AJ24" s="33" t="e">
        <f t="shared" ca="1" si="5"/>
        <v>#REF!</v>
      </c>
      <c r="AL24" s="103" t="e">
        <f t="shared" ca="1" si="6"/>
        <v>#REF!</v>
      </c>
      <c r="AM24" s="106" t="e">
        <f t="shared" ca="1" si="22"/>
        <v>#REF!</v>
      </c>
      <c r="AN24" s="103" t="e">
        <f t="shared" ca="1" si="23"/>
        <v>#REF!</v>
      </c>
      <c r="AO24" s="106" t="e">
        <f t="shared" ca="1" si="24"/>
        <v>#REF!</v>
      </c>
      <c r="AP24" s="106"/>
      <c r="AQ24" s="106" t="e">
        <f t="shared" ca="1" si="25"/>
        <v>#REF!</v>
      </c>
      <c r="AR24" s="106" t="e">
        <f t="shared" ca="1" si="26"/>
        <v>#REF!</v>
      </c>
      <c r="AS24" s="106" t="e">
        <f t="shared" ca="1" si="27"/>
        <v>#REF!</v>
      </c>
      <c r="AT24" s="106" t="e">
        <f t="shared" ca="1" si="28"/>
        <v>#REF!</v>
      </c>
      <c r="AU24" s="106" t="e">
        <f t="shared" ca="1" si="16"/>
        <v>#REF!</v>
      </c>
      <c r="AV24" s="106"/>
    </row>
    <row r="25" spans="2:51"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AL25" s="106"/>
      <c r="AM25" s="106"/>
      <c r="AN25" s="106"/>
      <c r="AO25" s="106"/>
      <c r="AP25" s="106"/>
      <c r="AQ25" s="106"/>
      <c r="AR25" s="106"/>
      <c r="AS25" s="106"/>
      <c r="AT25" s="106"/>
      <c r="AU25" s="106"/>
      <c r="AV25" s="106"/>
    </row>
    <row r="26" spans="2:51">
      <c r="B26" s="29"/>
      <c r="C26" s="33">
        <v>1.5</v>
      </c>
      <c r="D26" s="33">
        <f t="shared" ref="D26:U26" si="33">C26+0.5</f>
        <v>2</v>
      </c>
      <c r="E26" s="33">
        <f t="shared" si="33"/>
        <v>2.5</v>
      </c>
      <c r="F26" s="33">
        <f t="shared" si="33"/>
        <v>3</v>
      </c>
      <c r="G26" s="33">
        <f t="shared" si="33"/>
        <v>3.5</v>
      </c>
      <c r="H26" s="33">
        <f t="shared" si="33"/>
        <v>4</v>
      </c>
      <c r="I26" s="33">
        <f t="shared" si="33"/>
        <v>4.5</v>
      </c>
      <c r="J26" s="33">
        <f t="shared" si="33"/>
        <v>5</v>
      </c>
      <c r="K26" s="33">
        <f t="shared" si="33"/>
        <v>5.5</v>
      </c>
      <c r="L26" s="33">
        <f t="shared" si="33"/>
        <v>6</v>
      </c>
      <c r="M26" s="33">
        <f t="shared" si="33"/>
        <v>6.5</v>
      </c>
      <c r="N26" s="33">
        <f t="shared" si="33"/>
        <v>7</v>
      </c>
      <c r="O26" s="33">
        <f t="shared" si="33"/>
        <v>7.5</v>
      </c>
      <c r="P26" s="33">
        <f t="shared" si="33"/>
        <v>8</v>
      </c>
      <c r="Q26" s="33">
        <f>P26+0.5</f>
        <v>8.5</v>
      </c>
      <c r="R26" s="33">
        <f>Q26+0.5</f>
        <v>9</v>
      </c>
      <c r="S26" s="33">
        <f t="shared" si="33"/>
        <v>9.5</v>
      </c>
      <c r="T26" s="33">
        <f t="shared" si="33"/>
        <v>10</v>
      </c>
      <c r="U26" s="33">
        <f t="shared" si="33"/>
        <v>10.5</v>
      </c>
      <c r="AL26" s="106"/>
      <c r="AN26" s="106"/>
      <c r="AO26" s="106"/>
      <c r="AP26" s="106"/>
      <c r="AQ26" s="106"/>
      <c r="AR26" s="106"/>
      <c r="AS26" s="106"/>
      <c r="AT26" s="106"/>
      <c r="AU26" s="106"/>
      <c r="AV26" s="106"/>
    </row>
    <row r="27" spans="2:51">
      <c r="B27" s="29"/>
      <c r="C27" s="33"/>
      <c r="D27" s="33"/>
      <c r="E27" s="33"/>
      <c r="F27" s="33"/>
      <c r="G27" s="33"/>
      <c r="H27" s="33"/>
      <c r="I27" s="33"/>
      <c r="J27" s="33"/>
      <c r="K27" s="115"/>
      <c r="L27" s="33"/>
      <c r="M27" s="33"/>
      <c r="N27" s="33"/>
      <c r="O27" s="33"/>
      <c r="P27" s="33"/>
      <c r="Q27" s="33"/>
      <c r="R27" s="33"/>
      <c r="S27" s="33"/>
      <c r="T27" s="33"/>
      <c r="U27" s="33"/>
      <c r="AL27" s="106"/>
      <c r="AM27" s="106"/>
      <c r="AN27" s="106"/>
      <c r="AO27" s="106"/>
      <c r="AP27" s="106"/>
      <c r="AQ27" s="106"/>
      <c r="AR27" s="106"/>
      <c r="AS27" s="106"/>
      <c r="AT27" s="106"/>
      <c r="AU27" s="106"/>
      <c r="AV27" s="106"/>
    </row>
    <row r="28" spans="2:51" ht="14.4" thickBot="1">
      <c r="B28" s="27" t="s">
        <v>178</v>
      </c>
      <c r="I28" s="89"/>
      <c r="L28" s="35"/>
      <c r="N28" s="107" t="s">
        <v>184</v>
      </c>
      <c r="O28" s="108"/>
    </row>
    <row r="29" spans="2:51" ht="14.4" thickBot="1">
      <c r="B29" s="75" t="s">
        <v>1</v>
      </c>
      <c r="C29" s="75" t="s">
        <v>94</v>
      </c>
      <c r="D29" s="75" t="s">
        <v>95</v>
      </c>
      <c r="E29" s="122" t="s">
        <v>169</v>
      </c>
      <c r="F29" s="75" t="s">
        <v>170</v>
      </c>
      <c r="G29" s="75" t="s">
        <v>96</v>
      </c>
      <c r="H29" s="75" t="s">
        <v>172</v>
      </c>
      <c r="I29" s="122" t="s">
        <v>97</v>
      </c>
      <c r="J29" s="75" t="s">
        <v>174</v>
      </c>
      <c r="K29" s="113" t="s">
        <v>175</v>
      </c>
      <c r="L29" s="75" t="s">
        <v>176</v>
      </c>
      <c r="M29" s="75" t="s">
        <v>177</v>
      </c>
      <c r="N29" s="107" t="s">
        <v>190</v>
      </c>
      <c r="O29" s="107" t="s">
        <v>191</v>
      </c>
      <c r="AG29" s="89"/>
    </row>
    <row r="30" spans="2:51" hidden="1">
      <c r="B30" s="33">
        <v>1.5</v>
      </c>
      <c r="C30" s="33" t="e">
        <f ca="1">B6+(0.3-0.04)+0.1+AB6+AA6</f>
        <v>#REF!</v>
      </c>
      <c r="D30" s="33" t="e">
        <f ca="1">+IF(Z6=0,0,Z6+AB6+AA6)</f>
        <v>#REF!</v>
      </c>
      <c r="E30" s="121" t="e">
        <f ca="1">0.1+AB6+SQRT((B6+0.3-0.04)^2+(AH6-AJ6-0.04)^2)</f>
        <v>#REF!</v>
      </c>
      <c r="F30" s="33" t="e">
        <f t="shared" ref="F30:F36" ca="1" si="34">0.2+0.2+(AG6+AH6+AI6-2*0.075)</f>
        <v>#REF!</v>
      </c>
      <c r="G30" s="33" t="e">
        <f t="shared" ref="G30:G36" ca="1" si="35">+AC6</f>
        <v>#REF!</v>
      </c>
      <c r="H30" s="33" t="e">
        <f t="shared" ref="H30:H36" ca="1" si="36">0.2+0.2+AG6+AH6+AI6-2*0.075</f>
        <v>#REF!</v>
      </c>
      <c r="I30" s="112" t="e">
        <f ca="1">+AD6</f>
        <v>#REF!</v>
      </c>
      <c r="J30" s="33">
        <v>1</v>
      </c>
      <c r="K30" s="112">
        <v>1</v>
      </c>
      <c r="L30" s="33">
        <v>1</v>
      </c>
      <c r="M30" s="36">
        <v>1</v>
      </c>
      <c r="N30" s="112" t="e">
        <f t="shared" ref="N30:N37" ca="1" si="37">2*(12*AL6*0.0254)+2*(AF6-0.075)+2*SQRT((AS6-0.075)^2+((AQ6-AR6)/2-0.075)^2)+(AR6-2*0.075)</f>
        <v>#REF!</v>
      </c>
      <c r="O30" s="112">
        <v>1</v>
      </c>
    </row>
    <row r="31" spans="2:51">
      <c r="B31" s="33">
        <f>B30+0.5</f>
        <v>2</v>
      </c>
      <c r="C31" s="33" t="e">
        <f ca="1">B7+AB7+AF7+AA7+AJ7</f>
        <v>#REF!</v>
      </c>
      <c r="D31" s="121" t="e">
        <f ca="1">K98+L98+C98+AJ7+AF7/COS(RADIANS(J98))+Z7</f>
        <v>#REF!</v>
      </c>
      <c r="E31" s="121" t="e">
        <f ca="1">(E98+F98+AF7+AD7)</f>
        <v>#REF!</v>
      </c>
      <c r="F31" s="33" t="e">
        <f ca="1">0.2+0.2+(AG7+AH7+AI7-2*0.075)</f>
        <v>#REF!</v>
      </c>
      <c r="G31" s="33">
        <f>+AC7</f>
        <v>0</v>
      </c>
      <c r="H31" s="33" t="e">
        <f ca="1">0.2+0.2+AG7+AH7+AI7-2*0.075</f>
        <v>#REF!</v>
      </c>
      <c r="I31" s="121" t="e">
        <f ca="1">E31</f>
        <v>#REF!</v>
      </c>
      <c r="J31" s="33">
        <v>1</v>
      </c>
      <c r="K31" s="121">
        <f>(M98+0.1+0.1)*2</f>
        <v>2.4350000000000005</v>
      </c>
      <c r="L31" s="33">
        <v>1</v>
      </c>
      <c r="M31" s="36">
        <v>1</v>
      </c>
      <c r="N31" s="112" t="e">
        <f t="shared" ca="1" si="37"/>
        <v>#REF!</v>
      </c>
      <c r="O31" s="112">
        <v>1</v>
      </c>
    </row>
    <row r="32" spans="2:51">
      <c r="B32" s="33">
        <f t="shared" ref="B32:B47" si="38">B31+0.5</f>
        <v>2.5</v>
      </c>
      <c r="C32" s="33" t="e">
        <f t="shared" ref="C32:C48" ca="1" si="39">B8+AB8+AF8+AA8+AJ8</f>
        <v>#REF!</v>
      </c>
      <c r="D32" s="121" t="e">
        <f t="shared" ref="D32:D48" ca="1" si="40">K99+L99+C99+AJ8+AF8/COS(RADIANS(J99))+Z8</f>
        <v>#REF!</v>
      </c>
      <c r="E32" s="121" t="e">
        <f t="shared" ref="E32:E47" ca="1" si="41">(E99+F99+AF8+AD8)</f>
        <v>#REF!</v>
      </c>
      <c r="F32" s="33" t="e">
        <f t="shared" ca="1" si="34"/>
        <v>#REF!</v>
      </c>
      <c r="G32" s="33">
        <f t="shared" si="35"/>
        <v>0</v>
      </c>
      <c r="H32" s="33" t="e">
        <f t="shared" ca="1" si="36"/>
        <v>#REF!</v>
      </c>
      <c r="I32" s="121" t="e">
        <f t="shared" ref="I32:I48" ca="1" si="42">E32</f>
        <v>#REF!</v>
      </c>
      <c r="J32" s="33">
        <v>1</v>
      </c>
      <c r="K32" s="121">
        <f t="shared" ref="K32:K48" si="43">(M99+0.1+0.1)*2</f>
        <v>2.4350000000000005</v>
      </c>
      <c r="L32" s="33">
        <v>1</v>
      </c>
      <c r="M32" s="36">
        <v>1</v>
      </c>
      <c r="N32" s="112" t="e">
        <f t="shared" ca="1" si="37"/>
        <v>#REF!</v>
      </c>
      <c r="O32" s="112">
        <v>1</v>
      </c>
    </row>
    <row r="33" spans="2:42">
      <c r="B33" s="33">
        <f t="shared" si="38"/>
        <v>3</v>
      </c>
      <c r="C33" s="33" t="e">
        <f t="shared" ca="1" si="39"/>
        <v>#REF!</v>
      </c>
      <c r="D33" s="121" t="e">
        <f t="shared" ca="1" si="40"/>
        <v>#REF!</v>
      </c>
      <c r="E33" s="121" t="e">
        <f t="shared" ca="1" si="41"/>
        <v>#REF!</v>
      </c>
      <c r="F33" s="33" t="e">
        <f t="shared" ca="1" si="34"/>
        <v>#REF!</v>
      </c>
      <c r="G33" s="33">
        <f t="shared" si="35"/>
        <v>0</v>
      </c>
      <c r="H33" s="33" t="e">
        <f t="shared" ca="1" si="36"/>
        <v>#REF!</v>
      </c>
      <c r="I33" s="121" t="e">
        <f t="shared" ca="1" si="42"/>
        <v>#REF!</v>
      </c>
      <c r="J33" s="33">
        <v>1</v>
      </c>
      <c r="K33" s="121">
        <f t="shared" si="43"/>
        <v>2.4350000000000005</v>
      </c>
      <c r="L33" s="33">
        <v>1</v>
      </c>
      <c r="M33" s="36">
        <v>1</v>
      </c>
      <c r="N33" s="112" t="e">
        <f t="shared" ca="1" si="37"/>
        <v>#REF!</v>
      </c>
      <c r="O33" s="112">
        <v>1</v>
      </c>
    </row>
    <row r="34" spans="2:42">
      <c r="B34" s="33">
        <f t="shared" si="38"/>
        <v>3.5</v>
      </c>
      <c r="C34" s="33" t="e">
        <f t="shared" ca="1" si="39"/>
        <v>#REF!</v>
      </c>
      <c r="D34" s="121" t="e">
        <f t="shared" ca="1" si="40"/>
        <v>#REF!</v>
      </c>
      <c r="E34" s="121" t="e">
        <f t="shared" ca="1" si="41"/>
        <v>#REF!</v>
      </c>
      <c r="F34" s="33" t="e">
        <f t="shared" ca="1" si="34"/>
        <v>#REF!</v>
      </c>
      <c r="G34" s="33">
        <f t="shared" si="35"/>
        <v>0</v>
      </c>
      <c r="H34" s="33" t="e">
        <f t="shared" ca="1" si="36"/>
        <v>#REF!</v>
      </c>
      <c r="I34" s="121" t="e">
        <f t="shared" ca="1" si="42"/>
        <v>#REF!</v>
      </c>
      <c r="J34" s="33">
        <v>1</v>
      </c>
      <c r="K34" s="121">
        <f t="shared" si="43"/>
        <v>2.4350000000000005</v>
      </c>
      <c r="L34" s="33">
        <v>1</v>
      </c>
      <c r="M34" s="36">
        <v>1</v>
      </c>
      <c r="N34" s="112" t="e">
        <f t="shared" ca="1" si="37"/>
        <v>#REF!</v>
      </c>
      <c r="O34" s="112">
        <v>1</v>
      </c>
      <c r="AG34" s="27"/>
      <c r="AH34" s="27" t="s">
        <v>98</v>
      </c>
      <c r="AI34" s="27"/>
      <c r="AJ34" s="27"/>
      <c r="AK34" s="27"/>
      <c r="AL34" s="27"/>
      <c r="AM34" s="27"/>
      <c r="AN34" s="27"/>
    </row>
    <row r="35" spans="2:42">
      <c r="B35" s="33">
        <f t="shared" si="38"/>
        <v>4</v>
      </c>
      <c r="C35" s="33" t="e">
        <f t="shared" ca="1" si="39"/>
        <v>#REF!</v>
      </c>
      <c r="D35" s="121" t="e">
        <f t="shared" ca="1" si="40"/>
        <v>#REF!</v>
      </c>
      <c r="E35" s="121" t="e">
        <f t="shared" ca="1" si="41"/>
        <v>#REF!</v>
      </c>
      <c r="F35" s="33" t="e">
        <f t="shared" ca="1" si="34"/>
        <v>#REF!</v>
      </c>
      <c r="G35" s="33">
        <f t="shared" si="35"/>
        <v>0</v>
      </c>
      <c r="H35" s="33" t="e">
        <f t="shared" ca="1" si="36"/>
        <v>#REF!</v>
      </c>
      <c r="I35" s="121" t="e">
        <f t="shared" ca="1" si="42"/>
        <v>#REF!</v>
      </c>
      <c r="J35" s="33">
        <v>1</v>
      </c>
      <c r="K35" s="121">
        <f t="shared" si="43"/>
        <v>2.4350000000000005</v>
      </c>
      <c r="L35" s="33">
        <v>1</v>
      </c>
      <c r="M35" s="36">
        <v>1</v>
      </c>
      <c r="N35" s="112" t="e">
        <f t="shared" ca="1" si="37"/>
        <v>#REF!</v>
      </c>
      <c r="O35" s="112">
        <v>1</v>
      </c>
      <c r="AH35" s="28" t="s">
        <v>99</v>
      </c>
      <c r="AI35" s="28">
        <v>4200</v>
      </c>
    </row>
    <row r="36" spans="2:42">
      <c r="B36" s="33">
        <f t="shared" si="38"/>
        <v>4.5</v>
      </c>
      <c r="C36" s="33" t="e">
        <f t="shared" ca="1" si="39"/>
        <v>#REF!</v>
      </c>
      <c r="D36" s="121" t="e">
        <f t="shared" ca="1" si="40"/>
        <v>#REF!</v>
      </c>
      <c r="E36" s="121" t="e">
        <f t="shared" ca="1" si="41"/>
        <v>#REF!</v>
      </c>
      <c r="F36" s="33" t="e">
        <f t="shared" ca="1" si="34"/>
        <v>#REF!</v>
      </c>
      <c r="G36" s="33">
        <f t="shared" si="35"/>
        <v>0</v>
      </c>
      <c r="H36" s="33" t="e">
        <f t="shared" ca="1" si="36"/>
        <v>#REF!</v>
      </c>
      <c r="I36" s="121" t="e">
        <f t="shared" ca="1" si="42"/>
        <v>#REF!</v>
      </c>
      <c r="J36" s="33">
        <v>1</v>
      </c>
      <c r="K36" s="121">
        <f t="shared" si="43"/>
        <v>2.4350000000000005</v>
      </c>
      <c r="L36" s="33">
        <v>1</v>
      </c>
      <c r="M36" s="36">
        <v>1</v>
      </c>
      <c r="N36" s="112" t="e">
        <f t="shared" ca="1" si="37"/>
        <v>#REF!</v>
      </c>
      <c r="O36" s="112">
        <v>1</v>
      </c>
      <c r="AH36" s="28" t="s">
        <v>100</v>
      </c>
      <c r="AI36" s="28">
        <v>210</v>
      </c>
    </row>
    <row r="37" spans="2:42" ht="14.4" thickBot="1">
      <c r="B37" s="33">
        <f t="shared" si="38"/>
        <v>5</v>
      </c>
      <c r="C37" s="33" t="e">
        <f t="shared" ca="1" si="39"/>
        <v>#REF!</v>
      </c>
      <c r="D37" s="121" t="e">
        <f t="shared" ca="1" si="40"/>
        <v>#REF!</v>
      </c>
      <c r="E37" s="121" t="e">
        <f t="shared" ca="1" si="41"/>
        <v>#REF!</v>
      </c>
      <c r="F37" s="33" t="e">
        <f ca="1">0.2+0.2+(AG13+AH13+AI13-2*0.075)</f>
        <v>#REF!</v>
      </c>
      <c r="G37" s="33">
        <f>+AC13</f>
        <v>0</v>
      </c>
      <c r="H37" s="33" t="e">
        <f ca="1">0.2+0.2+AG13+AH13+AI13-2*0.075</f>
        <v>#REF!</v>
      </c>
      <c r="I37" s="121" t="e">
        <f t="shared" ca="1" si="42"/>
        <v>#REF!</v>
      </c>
      <c r="J37" s="33">
        <v>1</v>
      </c>
      <c r="K37" s="121">
        <f t="shared" si="43"/>
        <v>2.4350000000000005</v>
      </c>
      <c r="L37" s="33">
        <v>1</v>
      </c>
      <c r="M37" s="36">
        <v>1</v>
      </c>
      <c r="N37" s="112" t="e">
        <f t="shared" ca="1" si="37"/>
        <v>#REF!</v>
      </c>
      <c r="O37" s="112">
        <v>1</v>
      </c>
      <c r="AH37" s="37"/>
      <c r="AI37" s="38" t="s">
        <v>101</v>
      </c>
      <c r="AJ37" s="38" t="s">
        <v>102</v>
      </c>
      <c r="AK37" s="38" t="s">
        <v>103</v>
      </c>
    </row>
    <row r="38" spans="2:42">
      <c r="B38" s="33">
        <f t="shared" si="38"/>
        <v>5.5</v>
      </c>
      <c r="C38" s="33">
        <f t="shared" ca="1" si="39"/>
        <v>11.215</v>
      </c>
      <c r="D38" s="121">
        <f t="shared" ca="1" si="40"/>
        <v>13.561750907167237</v>
      </c>
      <c r="E38" s="121">
        <f t="shared" ca="1" si="41"/>
        <v>7.7</v>
      </c>
      <c r="F38" s="33">
        <f t="shared" ref="F38:F48" ca="1" si="44">0.2+0.2+(AG14+AH14+AI14-2*0.075)</f>
        <v>1.9</v>
      </c>
      <c r="G38" s="33">
        <f t="shared" ref="G38:G48" si="45">+AC14</f>
        <v>0</v>
      </c>
      <c r="H38" s="33">
        <f t="shared" ref="H38:H48" ca="1" si="46">0.2+0.2+AG14+AH14+AI14-2*0.075</f>
        <v>1.9</v>
      </c>
      <c r="I38" s="121">
        <f t="shared" ca="1" si="42"/>
        <v>7.7</v>
      </c>
      <c r="J38" s="33">
        <v>1</v>
      </c>
      <c r="K38" s="121">
        <f t="shared" si="43"/>
        <v>2.4350000000000005</v>
      </c>
      <c r="L38" s="33">
        <v>1</v>
      </c>
      <c r="M38" s="36">
        <v>1</v>
      </c>
      <c r="N38" s="112">
        <f ca="1">2*(12*AL14*0.0254)+2*(AF14-0.075)+2*SQRT((AS14-0.075)^2+((AQ14-AR14)/2-0.075)^2)+(AR14-2*0.075)</f>
        <v>-8.7867965644035734E-2</v>
      </c>
      <c r="O38" s="112">
        <v>1</v>
      </c>
      <c r="AH38" s="39">
        <v>1</v>
      </c>
      <c r="AI38" s="36">
        <f>0.0766*$AI$35*AH38*2.54/SQRT($AI$36)</f>
        <v>56.390004504912042</v>
      </c>
      <c r="AJ38" s="36">
        <f>8*AH38*2.54</f>
        <v>20.32</v>
      </c>
      <c r="AK38" s="36">
        <f>ROUNDUP(AI38+9,0)</f>
        <v>66</v>
      </c>
    </row>
    <row r="39" spans="2:42">
      <c r="B39" s="33">
        <f t="shared" si="38"/>
        <v>6</v>
      </c>
      <c r="C39" s="33" t="e">
        <f t="shared" ca="1" si="39"/>
        <v>#REF!</v>
      </c>
      <c r="D39" s="121" t="e">
        <f t="shared" ca="1" si="40"/>
        <v>#REF!</v>
      </c>
      <c r="E39" s="121" t="e">
        <f t="shared" ca="1" si="41"/>
        <v>#REF!</v>
      </c>
      <c r="F39" s="33" t="e">
        <f t="shared" ca="1" si="44"/>
        <v>#REF!</v>
      </c>
      <c r="G39" s="33">
        <f t="shared" si="45"/>
        <v>0</v>
      </c>
      <c r="H39" s="33" t="e">
        <f t="shared" ca="1" si="46"/>
        <v>#REF!</v>
      </c>
      <c r="I39" s="121" t="e">
        <f t="shared" ca="1" si="42"/>
        <v>#REF!</v>
      </c>
      <c r="J39" s="33">
        <v>1</v>
      </c>
      <c r="K39" s="121">
        <f t="shared" si="43"/>
        <v>2.4350000000000005</v>
      </c>
      <c r="L39" s="33">
        <v>1</v>
      </c>
      <c r="M39" s="36">
        <v>1</v>
      </c>
      <c r="N39" s="112" t="e">
        <f t="shared" ref="N39:N48" ca="1" si="47">2*(12*AL15*0.0254)+2*(AF15-0.075)+2*SQRT((AS15-0.075)^2+((AQ15-AR15)/2-0.075)^2)+(AR15-2*0.075)</f>
        <v>#REF!</v>
      </c>
      <c r="O39" s="112">
        <v>1</v>
      </c>
      <c r="AH39" s="39">
        <v>0.75</v>
      </c>
      <c r="AI39" s="36">
        <f>0.0766*$AI$35*AH39*2.54/SQRT($AI$36)</f>
        <v>42.292503378684032</v>
      </c>
      <c r="AJ39" s="36">
        <f>8*AH39*2.54</f>
        <v>15.24</v>
      </c>
      <c r="AK39" s="36">
        <f>ROUNDUP(AI39+9,0)</f>
        <v>52</v>
      </c>
    </row>
    <row r="40" spans="2:42">
      <c r="B40" s="33">
        <f t="shared" si="38"/>
        <v>6.5</v>
      </c>
      <c r="C40" s="33" t="e">
        <f t="shared" ca="1" si="39"/>
        <v>#REF!</v>
      </c>
      <c r="D40" s="121" t="e">
        <f t="shared" ca="1" si="40"/>
        <v>#REF!</v>
      </c>
      <c r="E40" s="121" t="e">
        <f t="shared" ca="1" si="41"/>
        <v>#REF!</v>
      </c>
      <c r="F40" s="33" t="e">
        <f t="shared" ca="1" si="44"/>
        <v>#REF!</v>
      </c>
      <c r="G40" s="33" t="e">
        <f t="shared" ca="1" si="45"/>
        <v>#REF!</v>
      </c>
      <c r="H40" s="33" t="e">
        <f t="shared" ca="1" si="46"/>
        <v>#REF!</v>
      </c>
      <c r="I40" s="121" t="e">
        <f t="shared" ca="1" si="42"/>
        <v>#REF!</v>
      </c>
      <c r="J40" s="33">
        <v>1</v>
      </c>
      <c r="K40" s="121">
        <f t="shared" si="43"/>
        <v>2.4350000000000005</v>
      </c>
      <c r="L40" s="33">
        <v>1</v>
      </c>
      <c r="M40" s="36">
        <v>1</v>
      </c>
      <c r="N40" s="112" t="e">
        <f t="shared" ca="1" si="47"/>
        <v>#REF!</v>
      </c>
      <c r="O40" s="112">
        <v>1</v>
      </c>
      <c r="AH40" s="39">
        <v>0.625</v>
      </c>
      <c r="AI40" s="36">
        <f>0.0766*$AI$35*AH40*2.54/SQRT($AI$36)</f>
        <v>35.243752815570026</v>
      </c>
      <c r="AJ40" s="36">
        <f>8*AH40*2.54</f>
        <v>12.7</v>
      </c>
      <c r="AK40" s="36">
        <f>ROUNDUP(AI40+9,0)</f>
        <v>45</v>
      </c>
    </row>
    <row r="41" spans="2:42">
      <c r="B41" s="33">
        <f t="shared" si="38"/>
        <v>7</v>
      </c>
      <c r="C41" s="33" t="e">
        <f t="shared" ca="1" si="39"/>
        <v>#REF!</v>
      </c>
      <c r="D41" s="121" t="e">
        <f t="shared" ca="1" si="40"/>
        <v>#REF!</v>
      </c>
      <c r="E41" s="121" t="e">
        <f t="shared" ca="1" si="41"/>
        <v>#REF!</v>
      </c>
      <c r="F41" s="33" t="e">
        <f t="shared" ca="1" si="44"/>
        <v>#REF!</v>
      </c>
      <c r="G41" s="33" t="e">
        <f t="shared" ca="1" si="45"/>
        <v>#REF!</v>
      </c>
      <c r="H41" s="33" t="e">
        <f t="shared" ca="1" si="46"/>
        <v>#REF!</v>
      </c>
      <c r="I41" s="121" t="e">
        <f t="shared" ca="1" si="42"/>
        <v>#REF!</v>
      </c>
      <c r="J41" s="33">
        <v>1</v>
      </c>
      <c r="K41" s="121">
        <f t="shared" si="43"/>
        <v>2.4350000000000005</v>
      </c>
      <c r="L41" s="33">
        <v>1</v>
      </c>
      <c r="M41" s="36">
        <v>1</v>
      </c>
      <c r="N41" s="112" t="e">
        <f t="shared" ca="1" si="47"/>
        <v>#REF!</v>
      </c>
      <c r="O41" s="112">
        <v>1</v>
      </c>
      <c r="AH41" s="39">
        <v>0.5</v>
      </c>
      <c r="AI41" s="36">
        <f>0.0766*$AI$35*AH41*2.54/SQRT($AI$36)</f>
        <v>28.195002252456021</v>
      </c>
      <c r="AJ41" s="36">
        <f>8*AH41*2.54</f>
        <v>10.16</v>
      </c>
      <c r="AK41" s="36">
        <f>ROUNDUP(AI41+9,0)</f>
        <v>38</v>
      </c>
    </row>
    <row r="42" spans="2:42">
      <c r="B42" s="33">
        <f t="shared" si="38"/>
        <v>7.5</v>
      </c>
      <c r="C42" s="33" t="e">
        <f t="shared" ca="1" si="39"/>
        <v>#REF!</v>
      </c>
      <c r="D42" s="121" t="e">
        <f t="shared" ca="1" si="40"/>
        <v>#REF!</v>
      </c>
      <c r="E42" s="121" t="e">
        <f t="shared" ca="1" si="41"/>
        <v>#REF!</v>
      </c>
      <c r="F42" s="33" t="e">
        <f t="shared" ca="1" si="44"/>
        <v>#REF!</v>
      </c>
      <c r="G42" s="33" t="e">
        <f t="shared" ca="1" si="45"/>
        <v>#REF!</v>
      </c>
      <c r="H42" s="33" t="e">
        <f t="shared" ca="1" si="46"/>
        <v>#REF!</v>
      </c>
      <c r="I42" s="121" t="e">
        <f t="shared" ca="1" si="42"/>
        <v>#REF!</v>
      </c>
      <c r="J42" s="33">
        <v>1</v>
      </c>
      <c r="K42" s="121">
        <f t="shared" si="43"/>
        <v>2.4350000000000005</v>
      </c>
      <c r="L42" s="33">
        <v>1</v>
      </c>
      <c r="M42" s="36">
        <v>1</v>
      </c>
      <c r="N42" s="112" t="e">
        <f t="shared" ca="1" si="47"/>
        <v>#REF!</v>
      </c>
      <c r="O42" s="112">
        <v>1</v>
      </c>
      <c r="AH42" s="39">
        <v>0.375</v>
      </c>
      <c r="AI42" s="36">
        <f>0.0766*$AI$35*AH42*2.54/SQRT($AI$36)</f>
        <v>21.146251689342016</v>
      </c>
      <c r="AJ42" s="36">
        <f>8*AH42*2.54</f>
        <v>7.62</v>
      </c>
      <c r="AK42" s="36">
        <f>ROUNDUP(AI42+9,0)</f>
        <v>31</v>
      </c>
    </row>
    <row r="43" spans="2:42" ht="14.4" thickBot="1">
      <c r="B43" s="33">
        <f t="shared" si="38"/>
        <v>8</v>
      </c>
      <c r="C43" s="33" t="e">
        <f t="shared" ca="1" si="39"/>
        <v>#REF!</v>
      </c>
      <c r="D43" s="121" t="e">
        <f t="shared" ca="1" si="40"/>
        <v>#REF!</v>
      </c>
      <c r="E43" s="121" t="e">
        <f t="shared" ca="1" si="41"/>
        <v>#REF!</v>
      </c>
      <c r="F43" s="33" t="e">
        <f t="shared" ca="1" si="44"/>
        <v>#REF!</v>
      </c>
      <c r="G43" s="33" t="e">
        <f t="shared" ca="1" si="45"/>
        <v>#REF!</v>
      </c>
      <c r="H43" s="33" t="e">
        <f t="shared" ca="1" si="46"/>
        <v>#REF!</v>
      </c>
      <c r="I43" s="121" t="e">
        <f t="shared" ca="1" si="42"/>
        <v>#REF!</v>
      </c>
      <c r="J43" s="33">
        <v>1</v>
      </c>
      <c r="K43" s="121">
        <f t="shared" si="43"/>
        <v>2.4350000000000005</v>
      </c>
      <c r="L43" s="33">
        <v>1</v>
      </c>
      <c r="M43" s="36">
        <v>1</v>
      </c>
      <c r="N43" s="112" t="e">
        <f t="shared" ca="1" si="47"/>
        <v>#REF!</v>
      </c>
      <c r="O43" s="112">
        <v>1</v>
      </c>
    </row>
    <row r="44" spans="2:42" ht="14.4" thickBot="1">
      <c r="B44" s="33">
        <f t="shared" si="38"/>
        <v>8.5</v>
      </c>
      <c r="C44" s="33" t="e">
        <f t="shared" ca="1" si="39"/>
        <v>#REF!</v>
      </c>
      <c r="D44" s="121" t="e">
        <f t="shared" ca="1" si="40"/>
        <v>#REF!</v>
      </c>
      <c r="E44" s="121" t="e">
        <f t="shared" ca="1" si="41"/>
        <v>#REF!</v>
      </c>
      <c r="F44" s="33" t="e">
        <f t="shared" ca="1" si="44"/>
        <v>#REF!</v>
      </c>
      <c r="G44" s="33" t="e">
        <f t="shared" ca="1" si="45"/>
        <v>#REF!</v>
      </c>
      <c r="H44" s="33" t="e">
        <f t="shared" ca="1" si="46"/>
        <v>#REF!</v>
      </c>
      <c r="I44" s="121" t="e">
        <f t="shared" ca="1" si="42"/>
        <v>#REF!</v>
      </c>
      <c r="J44" s="33">
        <v>1</v>
      </c>
      <c r="K44" s="121">
        <f t="shared" si="43"/>
        <v>2.4350000000000005</v>
      </c>
      <c r="L44" s="33">
        <v>1</v>
      </c>
      <c r="M44" s="36">
        <v>1</v>
      </c>
      <c r="N44" s="112" t="e">
        <f t="shared" ca="1" si="47"/>
        <v>#REF!</v>
      </c>
      <c r="O44" s="112">
        <v>1</v>
      </c>
      <c r="AG44" s="40"/>
      <c r="AH44" s="41"/>
      <c r="AI44" s="41" t="s">
        <v>137</v>
      </c>
      <c r="AJ44" s="42"/>
      <c r="AL44" s="43">
        <f>(3/8)*25.4</f>
        <v>9.5249999999999986</v>
      </c>
      <c r="AM44" s="43">
        <f>(4/8)*25.4</f>
        <v>12.7</v>
      </c>
      <c r="AN44" s="43">
        <f>(5/8)*25.4</f>
        <v>15.875</v>
      </c>
      <c r="AO44" s="43">
        <f>(6/8)*25.4</f>
        <v>19.049999999999997</v>
      </c>
      <c r="AP44" s="43">
        <f>(8/8)*25.4</f>
        <v>25.4</v>
      </c>
    </row>
    <row r="45" spans="2:42">
      <c r="B45" s="33">
        <f t="shared" si="38"/>
        <v>9</v>
      </c>
      <c r="C45" s="33" t="e">
        <f t="shared" ca="1" si="39"/>
        <v>#REF!</v>
      </c>
      <c r="D45" s="121" t="e">
        <f t="shared" ca="1" si="40"/>
        <v>#REF!</v>
      </c>
      <c r="E45" s="121" t="e">
        <f t="shared" ca="1" si="41"/>
        <v>#REF!</v>
      </c>
      <c r="F45" s="33" t="e">
        <f t="shared" ca="1" si="44"/>
        <v>#REF!</v>
      </c>
      <c r="G45" s="33" t="e">
        <f t="shared" ca="1" si="45"/>
        <v>#REF!</v>
      </c>
      <c r="H45" s="33" t="e">
        <f t="shared" ca="1" si="46"/>
        <v>#REF!</v>
      </c>
      <c r="I45" s="121" t="e">
        <f t="shared" ca="1" si="42"/>
        <v>#REF!</v>
      </c>
      <c r="J45" s="33">
        <v>1</v>
      </c>
      <c r="K45" s="121">
        <f t="shared" si="43"/>
        <v>2.4350000000000005</v>
      </c>
      <c r="L45" s="33">
        <v>1</v>
      </c>
      <c r="M45" s="36">
        <v>1</v>
      </c>
      <c r="N45" s="112" t="e">
        <f t="shared" ca="1" si="47"/>
        <v>#REF!</v>
      </c>
      <c r="O45" s="112">
        <v>1</v>
      </c>
      <c r="AG45" s="44">
        <f>AP45</f>
        <v>1</v>
      </c>
      <c r="AH45" s="45">
        <v>1</v>
      </c>
      <c r="AI45" s="36">
        <f>ROUNDUP(2.54*AH38*12,0)/100</f>
        <v>0.31</v>
      </c>
      <c r="AJ45" s="46"/>
      <c r="AL45" s="28">
        <f>AL44/25.4</f>
        <v>0.37499999999999994</v>
      </c>
      <c r="AM45" s="28">
        <f>AM44/25.4</f>
        <v>0.5</v>
      </c>
      <c r="AN45" s="28">
        <f>AN44/25.4</f>
        <v>0.625</v>
      </c>
      <c r="AO45" s="28">
        <f>AO44/25.4</f>
        <v>0.74999999999999989</v>
      </c>
      <c r="AP45" s="28">
        <f>AP44/25.4</f>
        <v>1</v>
      </c>
    </row>
    <row r="46" spans="2:42">
      <c r="B46" s="33">
        <f>B45+0.5</f>
        <v>9.5</v>
      </c>
      <c r="C46" s="33" t="e">
        <f t="shared" ca="1" si="39"/>
        <v>#REF!</v>
      </c>
      <c r="D46" s="121" t="e">
        <f t="shared" ca="1" si="40"/>
        <v>#REF!</v>
      </c>
      <c r="E46" s="121" t="e">
        <f t="shared" ca="1" si="41"/>
        <v>#REF!</v>
      </c>
      <c r="F46" s="33" t="e">
        <f t="shared" ca="1" si="44"/>
        <v>#REF!</v>
      </c>
      <c r="G46" s="33" t="e">
        <f t="shared" ca="1" si="45"/>
        <v>#REF!</v>
      </c>
      <c r="H46" s="33" t="e">
        <f t="shared" ca="1" si="46"/>
        <v>#REF!</v>
      </c>
      <c r="I46" s="121" t="e">
        <f t="shared" ca="1" si="42"/>
        <v>#REF!</v>
      </c>
      <c r="J46" s="33">
        <v>1</v>
      </c>
      <c r="K46" s="121">
        <f t="shared" si="43"/>
        <v>0.4</v>
      </c>
      <c r="L46" s="33">
        <v>1</v>
      </c>
      <c r="M46" s="36">
        <v>1</v>
      </c>
      <c r="N46" s="112" t="e">
        <f t="shared" ca="1" si="47"/>
        <v>#REF!</v>
      </c>
      <c r="O46" s="112">
        <v>1</v>
      </c>
      <c r="AG46" s="44">
        <f>AO45</f>
        <v>0.74999999999999989</v>
      </c>
      <c r="AH46" s="45">
        <v>0.75</v>
      </c>
      <c r="AI46" s="36">
        <f>ROUNDUP(2.54*AH39*12,0)/100</f>
        <v>0.23</v>
      </c>
      <c r="AJ46" s="46"/>
    </row>
    <row r="47" spans="2:42">
      <c r="B47" s="33">
        <f t="shared" si="38"/>
        <v>10</v>
      </c>
      <c r="C47" s="33" t="e">
        <f t="shared" ca="1" si="39"/>
        <v>#REF!</v>
      </c>
      <c r="D47" s="121" t="e">
        <f t="shared" ca="1" si="40"/>
        <v>#REF!</v>
      </c>
      <c r="E47" s="121" t="e">
        <f t="shared" ca="1" si="41"/>
        <v>#REF!</v>
      </c>
      <c r="F47" s="33" t="e">
        <f t="shared" ca="1" si="44"/>
        <v>#REF!</v>
      </c>
      <c r="G47" s="33" t="e">
        <f t="shared" ca="1" si="45"/>
        <v>#REF!</v>
      </c>
      <c r="H47" s="33" t="e">
        <f t="shared" ca="1" si="46"/>
        <v>#REF!</v>
      </c>
      <c r="I47" s="121" t="e">
        <f t="shared" ca="1" si="42"/>
        <v>#REF!</v>
      </c>
      <c r="J47" s="33">
        <v>1</v>
      </c>
      <c r="K47" s="121">
        <f t="shared" si="43"/>
        <v>0.4</v>
      </c>
      <c r="L47" s="33">
        <v>1</v>
      </c>
      <c r="M47" s="36">
        <v>1</v>
      </c>
      <c r="N47" s="112" t="e">
        <f t="shared" ca="1" si="47"/>
        <v>#REF!</v>
      </c>
      <c r="O47" s="112">
        <v>1</v>
      </c>
      <c r="AG47" s="44">
        <f>AN45</f>
        <v>0.625</v>
      </c>
      <c r="AH47" s="45">
        <v>0.625</v>
      </c>
      <c r="AI47" s="36">
        <f>ROUNDUP(2.54*AH40*12,0)/100</f>
        <v>0.2</v>
      </c>
      <c r="AJ47" s="46"/>
    </row>
    <row r="48" spans="2:42">
      <c r="B48" s="33">
        <f>B47+0.5</f>
        <v>10.5</v>
      </c>
      <c r="C48" s="33" t="e">
        <f t="shared" ca="1" si="39"/>
        <v>#REF!</v>
      </c>
      <c r="D48" s="121" t="e">
        <f t="shared" ca="1" si="40"/>
        <v>#REF!</v>
      </c>
      <c r="E48" s="121" t="e">
        <f ca="1">(E115+F115+AF24+AD24)</f>
        <v>#REF!</v>
      </c>
      <c r="F48" s="33" t="e">
        <f t="shared" ca="1" si="44"/>
        <v>#REF!</v>
      </c>
      <c r="G48" s="33" t="e">
        <f t="shared" ca="1" si="45"/>
        <v>#REF!</v>
      </c>
      <c r="H48" s="33" t="e">
        <f t="shared" ca="1" si="46"/>
        <v>#REF!</v>
      </c>
      <c r="I48" s="121" t="e">
        <f t="shared" ca="1" si="42"/>
        <v>#REF!</v>
      </c>
      <c r="J48" s="33">
        <v>1</v>
      </c>
      <c r="K48" s="121">
        <f t="shared" si="43"/>
        <v>0.4</v>
      </c>
      <c r="L48" s="33">
        <v>1</v>
      </c>
      <c r="M48" s="36">
        <v>1</v>
      </c>
      <c r="N48" s="112" t="e">
        <f t="shared" ca="1" si="47"/>
        <v>#REF!</v>
      </c>
      <c r="O48" s="112">
        <v>1</v>
      </c>
      <c r="AG48" s="44">
        <f>AM45</f>
        <v>0.5</v>
      </c>
      <c r="AH48" s="45">
        <v>0.5</v>
      </c>
      <c r="AI48" s="36">
        <v>0.2</v>
      </c>
      <c r="AJ48" s="47">
        <f>ROUNDUP(2.54*AH41*12,0)/100</f>
        <v>0.16</v>
      </c>
    </row>
    <row r="49" spans="2:42" ht="14.4" thickBot="1">
      <c r="AG49" s="48">
        <f>AL45</f>
        <v>0.37499999999999994</v>
      </c>
      <c r="AH49" s="49">
        <v>0.375</v>
      </c>
      <c r="AI49" s="50">
        <v>0.2</v>
      </c>
      <c r="AJ49" s="51">
        <f>ROUNDUP(2.54*AH42*12,0)/100</f>
        <v>0.12</v>
      </c>
    </row>
    <row r="50" spans="2:42" ht="14.4" thickBot="1">
      <c r="B50" s="27" t="s">
        <v>104</v>
      </c>
      <c r="N50" s="107" t="s">
        <v>184</v>
      </c>
      <c r="O50" s="108"/>
    </row>
    <row r="51" spans="2:42" ht="14.4" thickBot="1">
      <c r="B51" s="30" t="s">
        <v>1</v>
      </c>
      <c r="C51" s="75" t="s">
        <v>94</v>
      </c>
      <c r="D51" s="113" t="s">
        <v>95</v>
      </c>
      <c r="E51" s="113" t="s">
        <v>169</v>
      </c>
      <c r="F51" s="75" t="s">
        <v>170</v>
      </c>
      <c r="G51" s="75" t="s">
        <v>96</v>
      </c>
      <c r="H51" s="75" t="s">
        <v>172</v>
      </c>
      <c r="I51" s="113" t="s">
        <v>97</v>
      </c>
      <c r="J51" s="75" t="s">
        <v>174</v>
      </c>
      <c r="K51" s="113" t="s">
        <v>175</v>
      </c>
      <c r="L51" s="75" t="s">
        <v>176</v>
      </c>
      <c r="M51" s="75" t="s">
        <v>177</v>
      </c>
      <c r="N51" s="107" t="s">
        <v>190</v>
      </c>
      <c r="O51" s="107" t="s">
        <v>191</v>
      </c>
    </row>
    <row r="52" spans="2:42">
      <c r="B52" s="33">
        <v>1.5</v>
      </c>
      <c r="C52" s="33" t="e">
        <f ca="1">ROUND((1/VLOOKUP(B52,$B$6:$X$24,3,0)),0)</f>
        <v>#REF!</v>
      </c>
      <c r="D52" s="112" t="e">
        <f ca="1">ROUND((1/VLOOKUP(B52,$B$6:$X$24,5,0)),0)</f>
        <v>#REF!</v>
      </c>
      <c r="E52" s="121" t="e">
        <f ca="1">ROUND((1/VLOOKUP(B52,$B$6:$X$24,7,0)),0)</f>
        <v>#REF!</v>
      </c>
      <c r="F52" s="33" t="e">
        <f ca="1">ROUND((1/VLOOKUP(B52,$B$6:$X$24,9,0)),0)</f>
        <v>#REF!</v>
      </c>
      <c r="G52" s="33" t="e">
        <f ca="1">IF(G30=0,0,ROUND((1/VLOOKUP(B52,$B$6:$X$24,11,0)),0))</f>
        <v>#REF!</v>
      </c>
      <c r="H52" s="33" t="e">
        <f ca="1">ROUND((1/VLOOKUP(B52,$B$6:$X$24,13,0)),0)</f>
        <v>#REF!</v>
      </c>
      <c r="I52" s="121" t="e">
        <f ca="1">IF(I30=0,0,ROUND((1/VLOOKUP(B52,$B$6:$X$24,15,0)),0))</f>
        <v>#REF!</v>
      </c>
      <c r="J52" s="33" t="e">
        <f ca="1">+(B52+0.3-0.04)/VLOOKUP(B52,$B$6:$X$24,17,0)</f>
        <v>#REF!</v>
      </c>
      <c r="K52" s="121" t="e">
        <f ca="1">+SQRT((B6+0.3-0.04)^2+(AH6-AJ6-0.04)^2)/VLOOKUP(B52,$B$6:$X$24,19,0)</f>
        <v>#REF!</v>
      </c>
      <c r="L52" s="33" t="e">
        <f ca="1">(AG6+AH6+AI6-2*0.075)/VLOOKUP(B52,$B$6:$X$24,21,0)</f>
        <v>#REF!</v>
      </c>
      <c r="M52" s="28" t="e">
        <f ca="1">(AG6+AH6+AI6-2*0.075)/VLOOKUP(B52,$B$6:$X$24,23,0)</f>
        <v>#REF!</v>
      </c>
      <c r="N52" s="112" t="e">
        <f ca="1">IF(AU6=0,0,ROUND((1/VLOOKUP(B52,$B$6:$AO$24,38,0)),0))</f>
        <v>#REF!</v>
      </c>
      <c r="O52" s="112" t="e">
        <f ca="1">IF(AU6=0,0,(2*SQRT((AS6-0.075)^2+((AQ6-AR6)/2-0.075)^2)+(AR6-2*0.075))/VLOOKUP(B52,$B$6:$AO$24,40,0))</f>
        <v>#REF!</v>
      </c>
      <c r="AG52" s="52"/>
      <c r="AH52" s="19" t="s">
        <v>32</v>
      </c>
      <c r="AI52" s="20"/>
      <c r="AJ52" s="20" t="s">
        <v>33</v>
      </c>
      <c r="AK52" s="20"/>
      <c r="AL52" s="20"/>
      <c r="AM52" s="20"/>
      <c r="AN52" s="21"/>
      <c r="AO52" s="28" t="s">
        <v>105</v>
      </c>
    </row>
    <row r="53" spans="2:42" ht="14.4" thickBot="1">
      <c r="B53" s="33">
        <f>B52+0.5</f>
        <v>2</v>
      </c>
      <c r="C53" s="33">
        <f>ROUND((1/VLOOKUP(B53,$B$6:$X$24,3,0)),0)</f>
        <v>4</v>
      </c>
      <c r="D53" s="121">
        <f>F7</f>
        <v>3</v>
      </c>
      <c r="E53" s="121">
        <f>ROUND((((1/VLOOKUP(B53,$B$6:$X$24,7,0))*D98)),0)</f>
        <v>11</v>
      </c>
      <c r="F53" s="33">
        <f>ROUND((1/VLOOKUP(B53,$B$6:$X$24,9,0)),0)</f>
        <v>5</v>
      </c>
      <c r="G53" s="33">
        <f>IF(G31=0,0,ROUND((1/VLOOKUP(B53,$B$6:$X$24,11,0)),0))</f>
        <v>0</v>
      </c>
      <c r="H53" s="33">
        <f t="shared" ref="H53:H70" si="48">ROUND((1/VLOOKUP(B53,$B$6:$X$24,13,0)),0)</f>
        <v>5</v>
      </c>
      <c r="I53" s="121">
        <f>E53</f>
        <v>11</v>
      </c>
      <c r="J53" s="33">
        <f>ROUND(+(B53)/VLOOKUP(B53,$B$6:$X$24,17,0),0)</f>
        <v>9</v>
      </c>
      <c r="K53" s="121">
        <f>(1/VLOOKUP(B53,$B$6:$X$24,19,0))*(E98+F98)</f>
        <v>60</v>
      </c>
      <c r="L53" s="33" t="e">
        <f ca="1">ROUND((AG7+AH7+AI7)/VLOOKUP(B53,$B$6:$X$24,21,0),0)</f>
        <v>#REF!</v>
      </c>
      <c r="M53" s="28" t="e">
        <f ca="1">ROUND((AG7+AH7+AI7)/VLOOKUP(B53,$B$6:$X$24,23,0),0)</f>
        <v>#REF!</v>
      </c>
      <c r="N53" s="112" t="e">
        <f t="shared" ref="N53:N70" ca="1" si="49">IF(AU7=0,0,ROUND((1/VLOOKUP(B53,$B$6:$AO$24,38,0)),0))</f>
        <v>#REF!</v>
      </c>
      <c r="O53" s="112" t="e">
        <f t="shared" ref="O53:O70" ca="1" si="50">IF(AU7=0,0,(2*SQRT((AS7-0.075)^2+((AQ7-AR7)/2-0.075)^2)+(AR7-2*0.075))/VLOOKUP(B53,$B$6:$AO$24,40,0))</f>
        <v>#REF!</v>
      </c>
      <c r="AG53" s="53"/>
      <c r="AH53" s="22" t="s">
        <v>28</v>
      </c>
      <c r="AI53" s="23" t="s">
        <v>34</v>
      </c>
      <c r="AJ53" s="23"/>
      <c r="AK53" s="23"/>
      <c r="AL53" s="23"/>
      <c r="AM53" s="23"/>
      <c r="AN53" s="24"/>
      <c r="AO53" s="54" t="s">
        <v>101</v>
      </c>
    </row>
    <row r="54" spans="2:42">
      <c r="B54" s="33">
        <f t="shared" ref="B54:B69" si="51">B53+0.5</f>
        <v>2.5</v>
      </c>
      <c r="C54" s="33">
        <f t="shared" ref="C54:C70" si="52">ROUND((1/VLOOKUP(B54,$B$6:$X$24,3,0)),0)</f>
        <v>4</v>
      </c>
      <c r="D54" s="121">
        <f t="shared" ref="D54:D70" si="53">F8</f>
        <v>3</v>
      </c>
      <c r="E54" s="121">
        <f t="shared" ref="E54:E70" si="54">ROUND((((1/VLOOKUP(B54,$B$6:$X$24,7,0))*D99)),0)</f>
        <v>9</v>
      </c>
      <c r="F54" s="33">
        <f t="shared" ref="F54:F70" si="55">ROUND((1/VLOOKUP(B54,$B$6:$X$24,9,0)),0)</f>
        <v>5</v>
      </c>
      <c r="G54" s="33">
        <f t="shared" ref="G54:G70" si="56">IF(G32=0,0,ROUND((1/VLOOKUP(B54,$B$6:$X$24,11,0)),0))</f>
        <v>0</v>
      </c>
      <c r="H54" s="33">
        <f t="shared" si="48"/>
        <v>5</v>
      </c>
      <c r="I54" s="121">
        <f t="shared" ref="I54:I70" si="57">E54</f>
        <v>9</v>
      </c>
      <c r="J54" s="33">
        <f t="shared" ref="J54:J67" si="58">ROUND(+(B54)/VLOOKUP(B54,$B$6:$X$24,17,0),0)</f>
        <v>11</v>
      </c>
      <c r="K54" s="121">
        <f t="shared" ref="K54:K70" si="59">(1/VLOOKUP(B54,$B$6:$X$24,19,0))*(E99+F99)</f>
        <v>60</v>
      </c>
      <c r="L54" s="33" t="e">
        <f t="shared" ref="L54:L67" ca="1" si="60">ROUND((AG8+AH8+AI8)/VLOOKUP(B54,$B$6:$X$24,21,0),0)</f>
        <v>#REF!</v>
      </c>
      <c r="M54" s="28" t="e">
        <f t="shared" ref="M54:M67" ca="1" si="61">ROUND((AG8+AH8+AI8)/VLOOKUP(B54,$B$6:$X$24,23,0),0)</f>
        <v>#REF!</v>
      </c>
      <c r="N54" s="112" t="e">
        <f t="shared" ca="1" si="49"/>
        <v>#REF!</v>
      </c>
      <c r="O54" s="112" t="e">
        <f t="shared" ca="1" si="50"/>
        <v>#REF!</v>
      </c>
      <c r="AG54" s="76">
        <v>0.375</v>
      </c>
      <c r="AH54" s="77">
        <v>9.5250000000000004</v>
      </c>
      <c r="AI54" s="78">
        <v>0.38</v>
      </c>
      <c r="AJ54" s="79" t="s">
        <v>35</v>
      </c>
      <c r="AK54" s="80">
        <v>468.01450870367557</v>
      </c>
      <c r="AL54" s="79" t="s">
        <v>28</v>
      </c>
      <c r="AM54" s="80">
        <f t="shared" ref="AM54:AM59" si="62">AK54/1000</f>
        <v>0.46801450870367556</v>
      </c>
      <c r="AN54" s="81" t="s">
        <v>0</v>
      </c>
      <c r="AO54" s="82">
        <f t="shared" ref="AO54:AO59" si="63">100*AH54/SQRT(210/10.197)/1000</f>
        <v>0.20988990289979581</v>
      </c>
      <c r="AP54" s="28" t="s">
        <v>0</v>
      </c>
    </row>
    <row r="55" spans="2:42">
      <c r="B55" s="33">
        <f t="shared" si="51"/>
        <v>3</v>
      </c>
      <c r="C55" s="33">
        <f t="shared" si="52"/>
        <v>4</v>
      </c>
      <c r="D55" s="121">
        <f t="shared" si="53"/>
        <v>3</v>
      </c>
      <c r="E55" s="121">
        <f t="shared" si="54"/>
        <v>7</v>
      </c>
      <c r="F55" s="33">
        <f t="shared" si="55"/>
        <v>3</v>
      </c>
      <c r="G55" s="33">
        <f t="shared" si="56"/>
        <v>0</v>
      </c>
      <c r="H55" s="33">
        <f t="shared" si="48"/>
        <v>3</v>
      </c>
      <c r="I55" s="121">
        <f t="shared" si="57"/>
        <v>7</v>
      </c>
      <c r="J55" s="33">
        <f t="shared" si="58"/>
        <v>13</v>
      </c>
      <c r="K55" s="121">
        <f t="shared" si="59"/>
        <v>60</v>
      </c>
      <c r="L55" s="33" t="e">
        <f t="shared" ca="1" si="60"/>
        <v>#REF!</v>
      </c>
      <c r="M55" s="28" t="e">
        <f t="shared" ca="1" si="61"/>
        <v>#REF!</v>
      </c>
      <c r="N55" s="112" t="e">
        <f t="shared" ca="1" si="49"/>
        <v>#REF!</v>
      </c>
      <c r="O55" s="112" t="e">
        <f t="shared" ca="1" si="50"/>
        <v>#REF!</v>
      </c>
      <c r="AG55" s="76">
        <v>0.5</v>
      </c>
      <c r="AH55" s="77">
        <v>12.7</v>
      </c>
      <c r="AI55" s="78">
        <v>0.5</v>
      </c>
      <c r="AJ55" s="79" t="s">
        <v>35</v>
      </c>
      <c r="AK55" s="80">
        <v>624.01934493823398</v>
      </c>
      <c r="AL55" s="79" t="s">
        <v>28</v>
      </c>
      <c r="AM55" s="80">
        <f t="shared" si="62"/>
        <v>0.62401934493823397</v>
      </c>
      <c r="AN55" s="81" t="s">
        <v>0</v>
      </c>
      <c r="AO55" s="82">
        <f t="shared" si="63"/>
        <v>0.2798532038663944</v>
      </c>
    </row>
    <row r="56" spans="2:42">
      <c r="B56" s="33">
        <f t="shared" si="51"/>
        <v>3.5</v>
      </c>
      <c r="C56" s="33">
        <f t="shared" si="52"/>
        <v>4</v>
      </c>
      <c r="D56" s="121">
        <f t="shared" si="53"/>
        <v>3</v>
      </c>
      <c r="E56" s="121">
        <f t="shared" si="54"/>
        <v>7</v>
      </c>
      <c r="F56" s="33">
        <f t="shared" si="55"/>
        <v>3</v>
      </c>
      <c r="G56" s="33">
        <f t="shared" si="56"/>
        <v>0</v>
      </c>
      <c r="H56" s="33">
        <f t="shared" si="48"/>
        <v>3</v>
      </c>
      <c r="I56" s="121">
        <f t="shared" si="57"/>
        <v>7</v>
      </c>
      <c r="J56" s="33">
        <f t="shared" si="58"/>
        <v>16</v>
      </c>
      <c r="K56" s="121">
        <f t="shared" si="59"/>
        <v>60</v>
      </c>
      <c r="L56" s="33" t="e">
        <f t="shared" ca="1" si="60"/>
        <v>#REF!</v>
      </c>
      <c r="M56" s="28" t="e">
        <f t="shared" ca="1" si="61"/>
        <v>#REF!</v>
      </c>
      <c r="N56" s="112" t="e">
        <f t="shared" ca="1" si="49"/>
        <v>#REF!</v>
      </c>
      <c r="O56" s="112" t="e">
        <f t="shared" ca="1" si="50"/>
        <v>#REF!</v>
      </c>
      <c r="AG56" s="76">
        <v>0.625</v>
      </c>
      <c r="AH56" s="77">
        <v>15.875</v>
      </c>
      <c r="AI56" s="78">
        <v>0.63</v>
      </c>
      <c r="AJ56" s="79" t="s">
        <v>35</v>
      </c>
      <c r="AK56" s="80">
        <v>780.02418117279251</v>
      </c>
      <c r="AL56" s="79" t="s">
        <v>28</v>
      </c>
      <c r="AM56" s="80">
        <f t="shared" si="62"/>
        <v>0.78002418117279249</v>
      </c>
      <c r="AN56" s="81" t="s">
        <v>0</v>
      </c>
      <c r="AO56" s="82">
        <f t="shared" si="63"/>
        <v>0.34981650483299304</v>
      </c>
    </row>
    <row r="57" spans="2:42">
      <c r="B57" s="33">
        <f t="shared" si="51"/>
        <v>4</v>
      </c>
      <c r="C57" s="33">
        <f t="shared" si="52"/>
        <v>4</v>
      </c>
      <c r="D57" s="121">
        <f t="shared" si="53"/>
        <v>4</v>
      </c>
      <c r="E57" s="121">
        <f t="shared" si="54"/>
        <v>8</v>
      </c>
      <c r="F57" s="33">
        <f t="shared" si="55"/>
        <v>4</v>
      </c>
      <c r="G57" s="33">
        <f t="shared" si="56"/>
        <v>0</v>
      </c>
      <c r="H57" s="33">
        <f t="shared" si="48"/>
        <v>4</v>
      </c>
      <c r="I57" s="121">
        <f t="shared" si="57"/>
        <v>8</v>
      </c>
      <c r="J57" s="33">
        <f t="shared" si="58"/>
        <v>18</v>
      </c>
      <c r="K57" s="121">
        <f t="shared" si="59"/>
        <v>60</v>
      </c>
      <c r="L57" s="33" t="e">
        <f t="shared" ca="1" si="60"/>
        <v>#REF!</v>
      </c>
      <c r="M57" s="28" t="e">
        <f t="shared" ca="1" si="61"/>
        <v>#REF!</v>
      </c>
      <c r="N57" s="112" t="e">
        <f t="shared" ca="1" si="49"/>
        <v>#REF!</v>
      </c>
      <c r="O57" s="112" t="e">
        <f t="shared" ca="1" si="50"/>
        <v>#REF!</v>
      </c>
      <c r="AG57" s="76">
        <v>0.75</v>
      </c>
      <c r="AH57" s="77">
        <v>19.05</v>
      </c>
      <c r="AI57" s="78">
        <v>0.75</v>
      </c>
      <c r="AJ57" s="79" t="s">
        <v>35</v>
      </c>
      <c r="AK57" s="80">
        <v>936.02901740735115</v>
      </c>
      <c r="AL57" s="79" t="s">
        <v>28</v>
      </c>
      <c r="AM57" s="80">
        <f t="shared" si="62"/>
        <v>0.93602901740735112</v>
      </c>
      <c r="AN57" s="81" t="s">
        <v>0</v>
      </c>
      <c r="AO57" s="82">
        <f t="shared" si="63"/>
        <v>0.41977980579959162</v>
      </c>
    </row>
    <row r="58" spans="2:42">
      <c r="B58" s="33">
        <f t="shared" si="51"/>
        <v>4.5</v>
      </c>
      <c r="C58" s="33">
        <f t="shared" si="52"/>
        <v>4</v>
      </c>
      <c r="D58" s="121">
        <f t="shared" si="53"/>
        <v>3</v>
      </c>
      <c r="E58" s="121">
        <f t="shared" si="54"/>
        <v>8</v>
      </c>
      <c r="F58" s="33">
        <f t="shared" si="55"/>
        <v>5</v>
      </c>
      <c r="G58" s="33">
        <f t="shared" si="56"/>
        <v>0</v>
      </c>
      <c r="H58" s="33">
        <f t="shared" si="48"/>
        <v>5</v>
      </c>
      <c r="I58" s="121">
        <f t="shared" si="57"/>
        <v>8</v>
      </c>
      <c r="J58" s="33">
        <f t="shared" si="58"/>
        <v>20</v>
      </c>
      <c r="K58" s="121">
        <f t="shared" si="59"/>
        <v>50</v>
      </c>
      <c r="L58" s="33" t="e">
        <f t="shared" ca="1" si="60"/>
        <v>#REF!</v>
      </c>
      <c r="M58" s="28" t="e">
        <f t="shared" ca="1" si="61"/>
        <v>#REF!</v>
      </c>
      <c r="N58" s="112" t="e">
        <f t="shared" ca="1" si="49"/>
        <v>#REF!</v>
      </c>
      <c r="O58" s="112" t="e">
        <f t="shared" ca="1" si="50"/>
        <v>#REF!</v>
      </c>
      <c r="AG58" s="76">
        <v>1</v>
      </c>
      <c r="AH58" s="77">
        <v>25.4</v>
      </c>
      <c r="AI58" s="78">
        <v>1</v>
      </c>
      <c r="AJ58" s="79" t="s">
        <v>35</v>
      </c>
      <c r="AK58" s="80">
        <v>1248.038689876468</v>
      </c>
      <c r="AL58" s="79" t="s">
        <v>28</v>
      </c>
      <c r="AM58" s="80">
        <f t="shared" si="62"/>
        <v>1.2480386898764679</v>
      </c>
      <c r="AN58" s="81" t="s">
        <v>0</v>
      </c>
      <c r="AO58" s="82">
        <f t="shared" si="63"/>
        <v>0.55970640773278879</v>
      </c>
    </row>
    <row r="59" spans="2:42">
      <c r="B59" s="33">
        <f t="shared" si="51"/>
        <v>5</v>
      </c>
      <c r="C59" s="33">
        <f t="shared" si="52"/>
        <v>4</v>
      </c>
      <c r="D59" s="121">
        <f t="shared" si="53"/>
        <v>4</v>
      </c>
      <c r="E59" s="121">
        <f t="shared" si="54"/>
        <v>7</v>
      </c>
      <c r="F59" s="33">
        <f t="shared" si="55"/>
        <v>5</v>
      </c>
      <c r="G59" s="33">
        <f t="shared" si="56"/>
        <v>0</v>
      </c>
      <c r="H59" s="33">
        <f t="shared" si="48"/>
        <v>5</v>
      </c>
      <c r="I59" s="121">
        <f t="shared" si="57"/>
        <v>7</v>
      </c>
      <c r="J59" s="33">
        <f t="shared" si="58"/>
        <v>22</v>
      </c>
      <c r="K59" s="121">
        <f t="shared" si="59"/>
        <v>50</v>
      </c>
      <c r="L59" s="33" t="e">
        <f t="shared" ca="1" si="60"/>
        <v>#REF!</v>
      </c>
      <c r="M59" s="28" t="e">
        <f t="shared" ca="1" si="61"/>
        <v>#REF!</v>
      </c>
      <c r="N59" s="112" t="e">
        <f t="shared" ca="1" si="49"/>
        <v>#REF!</v>
      </c>
      <c r="O59" s="112" t="e">
        <f t="shared" ca="1" si="50"/>
        <v>#REF!</v>
      </c>
      <c r="AG59" s="83"/>
      <c r="AH59" s="84">
        <v>28.574999999999999</v>
      </c>
      <c r="AI59" s="85">
        <v>1.1299999999999999</v>
      </c>
      <c r="AJ59" s="86" t="s">
        <v>35</v>
      </c>
      <c r="AK59" s="87">
        <v>1404.0435261110265</v>
      </c>
      <c r="AL59" s="86" t="s">
        <v>28</v>
      </c>
      <c r="AM59" s="87">
        <f t="shared" si="62"/>
        <v>1.4040435261110265</v>
      </c>
      <c r="AN59" s="88" t="s">
        <v>0</v>
      </c>
      <c r="AO59" s="82">
        <f t="shared" si="63"/>
        <v>0.62966970869938732</v>
      </c>
    </row>
    <row r="60" spans="2:42">
      <c r="B60" s="33">
        <f t="shared" si="51"/>
        <v>5.5</v>
      </c>
      <c r="C60" s="33">
        <f t="shared" si="52"/>
        <v>4</v>
      </c>
      <c r="D60" s="121">
        <f t="shared" si="53"/>
        <v>4</v>
      </c>
      <c r="E60" s="121">
        <f t="shared" si="54"/>
        <v>7</v>
      </c>
      <c r="F60" s="33">
        <f t="shared" si="55"/>
        <v>4</v>
      </c>
      <c r="G60" s="33">
        <f t="shared" si="56"/>
        <v>0</v>
      </c>
      <c r="H60" s="33">
        <f t="shared" si="48"/>
        <v>4</v>
      </c>
      <c r="I60" s="121">
        <f t="shared" si="57"/>
        <v>7</v>
      </c>
      <c r="J60" s="33">
        <f t="shared" si="58"/>
        <v>28</v>
      </c>
      <c r="K60" s="121">
        <f t="shared" si="59"/>
        <v>42.857142857142861</v>
      </c>
      <c r="L60" s="33">
        <f t="shared" ca="1" si="60"/>
        <v>7</v>
      </c>
      <c r="M60" s="28">
        <f t="shared" ca="1" si="61"/>
        <v>7</v>
      </c>
      <c r="N60" s="112" t="e">
        <f t="shared" ca="1" si="49"/>
        <v>#DIV/0!</v>
      </c>
      <c r="O60" s="112" t="e">
        <f t="shared" ca="1" si="50"/>
        <v>#DIV/0!</v>
      </c>
      <c r="R60" s="36"/>
    </row>
    <row r="61" spans="2:42">
      <c r="B61" s="33">
        <f t="shared" si="51"/>
        <v>6</v>
      </c>
      <c r="C61" s="33">
        <f t="shared" si="52"/>
        <v>4</v>
      </c>
      <c r="D61" s="121">
        <f t="shared" si="53"/>
        <v>4</v>
      </c>
      <c r="E61" s="121">
        <f t="shared" si="54"/>
        <v>7</v>
      </c>
      <c r="F61" s="33">
        <f t="shared" si="55"/>
        <v>4</v>
      </c>
      <c r="G61" s="33">
        <f t="shared" si="56"/>
        <v>0</v>
      </c>
      <c r="H61" s="33">
        <f t="shared" si="48"/>
        <v>4</v>
      </c>
      <c r="I61" s="121">
        <f t="shared" si="57"/>
        <v>7</v>
      </c>
      <c r="J61" s="33">
        <f t="shared" si="58"/>
        <v>34</v>
      </c>
      <c r="K61" s="121">
        <f t="shared" si="59"/>
        <v>42.857142857142861</v>
      </c>
      <c r="L61" s="33" t="e">
        <f t="shared" ca="1" si="60"/>
        <v>#REF!</v>
      </c>
      <c r="M61" s="28" t="e">
        <f t="shared" ca="1" si="61"/>
        <v>#REF!</v>
      </c>
      <c r="N61" s="112" t="e">
        <f t="shared" ca="1" si="49"/>
        <v>#REF!</v>
      </c>
      <c r="O61" s="112" t="e">
        <f t="shared" ca="1" si="50"/>
        <v>#REF!</v>
      </c>
    </row>
    <row r="62" spans="2:42">
      <c r="B62" s="33">
        <f t="shared" si="51"/>
        <v>6.5</v>
      </c>
      <c r="C62" s="33">
        <f t="shared" si="52"/>
        <v>4</v>
      </c>
      <c r="D62" s="121">
        <f t="shared" si="53"/>
        <v>4</v>
      </c>
      <c r="E62" s="121">
        <f t="shared" si="54"/>
        <v>7</v>
      </c>
      <c r="F62" s="33">
        <f t="shared" si="55"/>
        <v>4</v>
      </c>
      <c r="G62" s="33" t="e">
        <f t="shared" ca="1" si="56"/>
        <v>#REF!</v>
      </c>
      <c r="H62" s="33">
        <f t="shared" si="48"/>
        <v>4</v>
      </c>
      <c r="I62" s="121">
        <f t="shared" si="57"/>
        <v>7</v>
      </c>
      <c r="J62" s="33">
        <f t="shared" si="58"/>
        <v>37</v>
      </c>
      <c r="K62" s="121">
        <f t="shared" si="59"/>
        <v>42.857142857142861</v>
      </c>
      <c r="L62" s="33" t="e">
        <f t="shared" ca="1" si="60"/>
        <v>#REF!</v>
      </c>
      <c r="M62" s="28" t="e">
        <f t="shared" ca="1" si="61"/>
        <v>#REF!</v>
      </c>
      <c r="N62" s="112" t="e">
        <f t="shared" ca="1" si="49"/>
        <v>#REF!</v>
      </c>
      <c r="O62" s="112" t="e">
        <f t="shared" ca="1" si="50"/>
        <v>#REF!</v>
      </c>
    </row>
    <row r="63" spans="2:42">
      <c r="B63" s="33">
        <f t="shared" si="51"/>
        <v>7</v>
      </c>
      <c r="C63" s="33">
        <f t="shared" si="52"/>
        <v>4</v>
      </c>
      <c r="D63" s="121">
        <f t="shared" si="53"/>
        <v>5</v>
      </c>
      <c r="E63" s="121">
        <f t="shared" si="54"/>
        <v>7</v>
      </c>
      <c r="F63" s="33">
        <f t="shared" si="55"/>
        <v>4</v>
      </c>
      <c r="G63" s="33" t="e">
        <f t="shared" ca="1" si="56"/>
        <v>#REF!</v>
      </c>
      <c r="H63" s="33">
        <f t="shared" si="48"/>
        <v>4</v>
      </c>
      <c r="I63" s="121">
        <f t="shared" si="57"/>
        <v>7</v>
      </c>
      <c r="J63" s="33">
        <f t="shared" si="58"/>
        <v>40</v>
      </c>
      <c r="K63" s="121">
        <f t="shared" si="59"/>
        <v>37.5</v>
      </c>
      <c r="L63" s="33" t="e">
        <f t="shared" ca="1" si="60"/>
        <v>#REF!</v>
      </c>
      <c r="M63" s="28" t="e">
        <f t="shared" ca="1" si="61"/>
        <v>#REF!</v>
      </c>
      <c r="N63" s="112" t="e">
        <f t="shared" ca="1" si="49"/>
        <v>#REF!</v>
      </c>
      <c r="O63" s="112" t="e">
        <f t="shared" ca="1" si="50"/>
        <v>#REF!</v>
      </c>
    </row>
    <row r="64" spans="2:42">
      <c r="B64" s="33">
        <f t="shared" si="51"/>
        <v>7.5</v>
      </c>
      <c r="C64" s="33" t="e">
        <f t="shared" ca="1" si="52"/>
        <v>#REF!</v>
      </c>
      <c r="D64" s="121">
        <f t="shared" si="53"/>
        <v>5</v>
      </c>
      <c r="E64" s="121">
        <f t="shared" si="54"/>
        <v>7</v>
      </c>
      <c r="F64" s="33">
        <f t="shared" si="55"/>
        <v>4</v>
      </c>
      <c r="G64" s="33" t="e">
        <f t="shared" ca="1" si="56"/>
        <v>#REF!</v>
      </c>
      <c r="H64" s="33">
        <f t="shared" si="48"/>
        <v>4</v>
      </c>
      <c r="I64" s="121">
        <f t="shared" si="57"/>
        <v>7</v>
      </c>
      <c r="J64" s="33">
        <f t="shared" si="58"/>
        <v>30</v>
      </c>
      <c r="K64" s="121">
        <f t="shared" si="59"/>
        <v>37.5</v>
      </c>
      <c r="L64" s="33" t="e">
        <f t="shared" ca="1" si="60"/>
        <v>#REF!</v>
      </c>
      <c r="M64" s="28" t="e">
        <f t="shared" ca="1" si="61"/>
        <v>#REF!</v>
      </c>
      <c r="N64" s="112" t="e">
        <f t="shared" ca="1" si="49"/>
        <v>#REF!</v>
      </c>
      <c r="O64" s="112" t="e">
        <f t="shared" ca="1" si="50"/>
        <v>#REF!</v>
      </c>
    </row>
    <row r="65" spans="2:17">
      <c r="B65" s="33">
        <f t="shared" si="51"/>
        <v>8</v>
      </c>
      <c r="C65" s="33">
        <f t="shared" si="52"/>
        <v>5</v>
      </c>
      <c r="D65" s="121">
        <f t="shared" si="53"/>
        <v>5</v>
      </c>
      <c r="E65" s="121">
        <f t="shared" si="54"/>
        <v>9</v>
      </c>
      <c r="F65" s="33">
        <f t="shared" si="55"/>
        <v>4</v>
      </c>
      <c r="G65" s="33" t="e">
        <f t="shared" ca="1" si="56"/>
        <v>#REF!</v>
      </c>
      <c r="H65" s="33">
        <f t="shared" si="48"/>
        <v>4</v>
      </c>
      <c r="I65" s="121">
        <f t="shared" si="57"/>
        <v>9</v>
      </c>
      <c r="J65" s="33">
        <f t="shared" si="58"/>
        <v>32</v>
      </c>
      <c r="K65" s="121">
        <f t="shared" si="59"/>
        <v>37.5</v>
      </c>
      <c r="L65" s="33" t="e">
        <f t="shared" ca="1" si="60"/>
        <v>#REF!</v>
      </c>
      <c r="M65" s="28" t="e">
        <f t="shared" ca="1" si="61"/>
        <v>#REF!</v>
      </c>
      <c r="N65" s="112" t="e">
        <f t="shared" ca="1" si="49"/>
        <v>#REF!</v>
      </c>
      <c r="O65" s="112" t="e">
        <f t="shared" ca="1" si="50"/>
        <v>#REF!</v>
      </c>
    </row>
    <row r="66" spans="2:17">
      <c r="B66" s="33">
        <f t="shared" si="51"/>
        <v>8.5</v>
      </c>
      <c r="C66" s="33">
        <f t="shared" si="52"/>
        <v>6</v>
      </c>
      <c r="D66" s="121">
        <f t="shared" si="53"/>
        <v>4</v>
      </c>
      <c r="E66" s="121">
        <f t="shared" si="54"/>
        <v>7</v>
      </c>
      <c r="F66" s="33">
        <f t="shared" si="55"/>
        <v>5</v>
      </c>
      <c r="G66" s="33" t="e">
        <f t="shared" ca="1" si="56"/>
        <v>#REF!</v>
      </c>
      <c r="H66" s="33">
        <f t="shared" si="48"/>
        <v>5</v>
      </c>
      <c r="I66" s="121">
        <f t="shared" si="57"/>
        <v>7</v>
      </c>
      <c r="J66" s="33">
        <f t="shared" si="58"/>
        <v>38</v>
      </c>
      <c r="K66" s="121">
        <f t="shared" si="59"/>
        <v>37.5</v>
      </c>
      <c r="L66" s="33" t="e">
        <f t="shared" ca="1" si="60"/>
        <v>#REF!</v>
      </c>
      <c r="M66" s="28" t="e">
        <f t="shared" ca="1" si="61"/>
        <v>#REF!</v>
      </c>
      <c r="N66" s="112" t="e">
        <f t="shared" ca="1" si="49"/>
        <v>#REF!</v>
      </c>
      <c r="O66" s="112" t="e">
        <f t="shared" ca="1" si="50"/>
        <v>#REF!</v>
      </c>
    </row>
    <row r="67" spans="2:17">
      <c r="B67" s="33">
        <f t="shared" si="51"/>
        <v>9</v>
      </c>
      <c r="C67" s="33">
        <f t="shared" si="52"/>
        <v>7</v>
      </c>
      <c r="D67" s="121">
        <f t="shared" si="53"/>
        <v>4</v>
      </c>
      <c r="E67" s="121">
        <f t="shared" si="54"/>
        <v>7</v>
      </c>
      <c r="F67" s="33">
        <f t="shared" si="55"/>
        <v>5</v>
      </c>
      <c r="G67" s="33" t="e">
        <f t="shared" ca="1" si="56"/>
        <v>#REF!</v>
      </c>
      <c r="H67" s="33">
        <f t="shared" si="48"/>
        <v>5</v>
      </c>
      <c r="I67" s="121">
        <f t="shared" si="57"/>
        <v>7</v>
      </c>
      <c r="J67" s="33">
        <f t="shared" si="58"/>
        <v>40</v>
      </c>
      <c r="K67" s="121">
        <f t="shared" si="59"/>
        <v>37.5</v>
      </c>
      <c r="L67" s="33" t="e">
        <f t="shared" ca="1" si="60"/>
        <v>#REF!</v>
      </c>
      <c r="M67" s="28" t="e">
        <f t="shared" ca="1" si="61"/>
        <v>#REF!</v>
      </c>
      <c r="N67" s="112" t="e">
        <f t="shared" ca="1" si="49"/>
        <v>#REF!</v>
      </c>
      <c r="O67" s="112" t="e">
        <f t="shared" ca="1" si="50"/>
        <v>#REF!</v>
      </c>
    </row>
    <row r="68" spans="2:17">
      <c r="B68" s="33">
        <f>B67+0.5</f>
        <v>9.5</v>
      </c>
      <c r="C68" s="33" t="e">
        <f t="shared" ca="1" si="52"/>
        <v>#REF!</v>
      </c>
      <c r="D68" s="121" t="e">
        <f t="shared" ca="1" si="53"/>
        <v>#REF!</v>
      </c>
      <c r="E68" s="112" t="e">
        <f t="shared" ca="1" si="54"/>
        <v>#REF!</v>
      </c>
      <c r="F68" s="33" t="e">
        <f t="shared" ca="1" si="55"/>
        <v>#REF!</v>
      </c>
      <c r="G68" s="33" t="e">
        <f t="shared" ca="1" si="56"/>
        <v>#REF!</v>
      </c>
      <c r="H68" s="33" t="e">
        <f t="shared" ca="1" si="48"/>
        <v>#REF!</v>
      </c>
      <c r="I68" s="121" t="e">
        <f t="shared" ca="1" si="57"/>
        <v>#REF!</v>
      </c>
      <c r="J68" s="33" t="e">
        <f ca="1">+(B68+0.3-0.04)/VLOOKUP(B68,$B$6:$X$24,17,0)</f>
        <v>#REF!</v>
      </c>
      <c r="K68" s="121" t="e">
        <f t="shared" ca="1" si="59"/>
        <v>#REF!</v>
      </c>
      <c r="L68" s="33" t="e">
        <f ca="1">(AG22+AH22+AI22-2*0.075)/VLOOKUP(B68,$B$6:$X$24,21,0)</f>
        <v>#REF!</v>
      </c>
      <c r="M68" s="28" t="e">
        <f ca="1">(AG22+AH22+AI22-2*0.075)/VLOOKUP(B68,$B$6:$X$24,23,0)</f>
        <v>#REF!</v>
      </c>
      <c r="N68" s="112" t="e">
        <f t="shared" ca="1" si="49"/>
        <v>#REF!</v>
      </c>
      <c r="O68" s="112" t="e">
        <f t="shared" ca="1" si="50"/>
        <v>#REF!</v>
      </c>
    </row>
    <row r="69" spans="2:17">
      <c r="B69" s="33">
        <f t="shared" si="51"/>
        <v>10</v>
      </c>
      <c r="C69" s="33" t="e">
        <f t="shared" ca="1" si="52"/>
        <v>#REF!</v>
      </c>
      <c r="D69" s="121" t="e">
        <f t="shared" ca="1" si="53"/>
        <v>#REF!</v>
      </c>
      <c r="E69" s="112" t="e">
        <f t="shared" ca="1" si="54"/>
        <v>#REF!</v>
      </c>
      <c r="F69" s="33" t="e">
        <f t="shared" ca="1" si="55"/>
        <v>#REF!</v>
      </c>
      <c r="G69" s="33" t="e">
        <f t="shared" ca="1" si="56"/>
        <v>#REF!</v>
      </c>
      <c r="H69" s="33" t="e">
        <f t="shared" ca="1" si="48"/>
        <v>#REF!</v>
      </c>
      <c r="I69" s="121" t="e">
        <f t="shared" ca="1" si="57"/>
        <v>#REF!</v>
      </c>
      <c r="J69" s="33" t="e">
        <f ca="1">+(B69+0.3-0.04)/VLOOKUP(B69,$B$6:$X$24,17,0)</f>
        <v>#REF!</v>
      </c>
      <c r="K69" s="121" t="e">
        <f t="shared" ca="1" si="59"/>
        <v>#REF!</v>
      </c>
      <c r="L69" s="33" t="e">
        <f ca="1">(AG23+AH23+AI23-2*0.075)/VLOOKUP(B69,$B$6:$X$24,21,0)</f>
        <v>#REF!</v>
      </c>
      <c r="M69" s="28" t="e">
        <f ca="1">(AG23+AH23+AI23-2*0.075)/VLOOKUP(B69,$B$6:$X$24,23,0)</f>
        <v>#REF!</v>
      </c>
      <c r="N69" s="112" t="e">
        <f t="shared" ca="1" si="49"/>
        <v>#REF!</v>
      </c>
      <c r="O69" s="112" t="e">
        <f t="shared" ca="1" si="50"/>
        <v>#REF!</v>
      </c>
    </row>
    <row r="70" spans="2:17">
      <c r="B70" s="33">
        <f>B69+0.5</f>
        <v>10.5</v>
      </c>
      <c r="C70" s="33" t="e">
        <f t="shared" ca="1" si="52"/>
        <v>#REF!</v>
      </c>
      <c r="D70" s="121" t="e">
        <f t="shared" ca="1" si="53"/>
        <v>#REF!</v>
      </c>
      <c r="E70" s="112" t="e">
        <f t="shared" ca="1" si="54"/>
        <v>#REF!</v>
      </c>
      <c r="F70" s="33" t="e">
        <f t="shared" ca="1" si="55"/>
        <v>#REF!</v>
      </c>
      <c r="G70" s="33" t="e">
        <f t="shared" ca="1" si="56"/>
        <v>#REF!</v>
      </c>
      <c r="H70" s="33" t="e">
        <f t="shared" ca="1" si="48"/>
        <v>#REF!</v>
      </c>
      <c r="I70" s="121" t="e">
        <f t="shared" ca="1" si="57"/>
        <v>#REF!</v>
      </c>
      <c r="J70" s="33" t="e">
        <f ca="1">+(B70+0.3-0.04)/VLOOKUP(B70,$B$6:$X$24,17,0)</f>
        <v>#REF!</v>
      </c>
      <c r="K70" s="121" t="e">
        <f t="shared" ca="1" si="59"/>
        <v>#REF!</v>
      </c>
      <c r="L70" s="33" t="e">
        <f ca="1">(AG24+AH24+AI24-2*0.075)/VLOOKUP(B70,$B$6:$X$24,21,0)</f>
        <v>#REF!</v>
      </c>
      <c r="M70" s="28" t="e">
        <f ca="1">(AG24+AH24+AI24-2*0.075)/VLOOKUP(B70,$B$6:$X$24,23,0)</f>
        <v>#REF!</v>
      </c>
      <c r="N70" s="112" t="e">
        <f t="shared" ca="1" si="49"/>
        <v>#REF!</v>
      </c>
      <c r="O70" s="112" t="e">
        <f t="shared" ca="1" si="50"/>
        <v>#REF!</v>
      </c>
    </row>
    <row r="71" spans="2:17">
      <c r="K71" s="124"/>
    </row>
    <row r="72" spans="2:17" ht="14.4" thickBot="1">
      <c r="B72" s="27" t="s">
        <v>106</v>
      </c>
      <c r="N72" s="107" t="s">
        <v>184</v>
      </c>
      <c r="O72" s="106"/>
    </row>
    <row r="73" spans="2:17" ht="14.4" thickBot="1">
      <c r="B73" s="30" t="s">
        <v>1</v>
      </c>
      <c r="C73" s="75" t="s">
        <v>94</v>
      </c>
      <c r="D73" s="122" t="s">
        <v>95</v>
      </c>
      <c r="E73" s="113" t="s">
        <v>169</v>
      </c>
      <c r="F73" s="75" t="s">
        <v>170</v>
      </c>
      <c r="G73" s="75" t="s">
        <v>96</v>
      </c>
      <c r="H73" s="75" t="s">
        <v>172</v>
      </c>
      <c r="I73" s="113" t="s">
        <v>97</v>
      </c>
      <c r="J73" s="75" t="s">
        <v>174</v>
      </c>
      <c r="K73" s="113" t="s">
        <v>175</v>
      </c>
      <c r="L73" s="75" t="s">
        <v>176</v>
      </c>
      <c r="M73" s="75" t="s">
        <v>177</v>
      </c>
      <c r="N73" s="107" t="s">
        <v>190</v>
      </c>
      <c r="O73" s="107" t="s">
        <v>191</v>
      </c>
      <c r="Q73" s="55" t="s">
        <v>19</v>
      </c>
    </row>
    <row r="74" spans="2:17">
      <c r="B74" s="33">
        <v>1.5</v>
      </c>
      <c r="C74" s="36" t="e">
        <f ca="1">PRODUCT(C30,7850,5.07*POWER(VLOOKUP($B74,$B$6:$X$24,2,0),2)/10000,C52)</f>
        <v>#REF!</v>
      </c>
      <c r="D74" s="119" t="e">
        <f ca="1">PRODUCT(D30,7850,5.07*POWER(VLOOKUP($B74,$B$6:$X$24,4,0),2)/10000,D52)</f>
        <v>#REF!</v>
      </c>
      <c r="E74" s="119" t="e">
        <f t="shared" ref="E74:E92" ca="1" si="64">PRODUCT(E30,7850,5.07*POWER(VLOOKUP($B74,$B$6:$X$24,6,0),2)/10000,E52)</f>
        <v>#REF!</v>
      </c>
      <c r="F74" s="36" t="e">
        <f t="shared" ref="F74:F92" ca="1" si="65">PRODUCT(F30,7850,5.07*POWER(VLOOKUP($B74,$B$6:$X$24,8,0),2)/10000,F52)</f>
        <v>#REF!</v>
      </c>
      <c r="G74" s="36" t="e">
        <f t="shared" ref="G74:G92" ca="1" si="66">PRODUCT(G30,7850,5.07*POWER(VLOOKUP($B74,$B$6:$X$24,10,0),2)/10000,G52)</f>
        <v>#REF!</v>
      </c>
      <c r="H74" s="36" t="e">
        <f t="shared" ref="H74:H92" ca="1" si="67">PRODUCT(H30,7850,5.07*POWER(VLOOKUP($B74,$B$6:$X$24,12,0),2)/10000,H52)</f>
        <v>#REF!</v>
      </c>
      <c r="I74" s="119" t="e">
        <f t="shared" ref="I74:I92" ca="1" si="68">PRODUCT(I30,7850,5.07*POWER(VLOOKUP($B74,$B$6:$X$24,14,0),2)/10000,I52)</f>
        <v>#REF!</v>
      </c>
      <c r="J74" s="36" t="e">
        <f t="shared" ref="J74:J92" ca="1" si="69">PRODUCT(J30,7850,5.07*POWER(VLOOKUP($B74,$B$6:$X$24,16,0),2)/10000,J52)</f>
        <v>#REF!</v>
      </c>
      <c r="K74" s="119" t="e">
        <f ca="1">PRODUCT(K30,7850,5.07*POWER(VLOOKUP($B74,$B$6:$X$24,18,0),2)/10000,K52)</f>
        <v>#REF!</v>
      </c>
      <c r="L74" s="36" t="e">
        <f t="shared" ref="L74:M92" ca="1" si="70">PRODUCT(L30,7850,5.07*POWER(VLOOKUP($B74,$B$6:$X$24,20,0),2)/10000,L52)</f>
        <v>#REF!</v>
      </c>
      <c r="M74" s="36" t="e">
        <f t="shared" ca="1" si="70"/>
        <v>#REF!</v>
      </c>
      <c r="N74" s="114" t="e">
        <f t="shared" ref="N74:N92" ca="1" si="71">PRODUCT(N30,7850,5.07*POWER(VLOOKUP($B74,$B$6:$AO$24,37,0),2)/10000,N52)</f>
        <v>#REF!</v>
      </c>
      <c r="O74" s="114" t="e">
        <f t="shared" ref="O74:O92" ca="1" si="72">PRODUCT(O30,7850,5.07*POWER(VLOOKUP($B74,$B$6:$AO$24,39,0),2)/10000,O52)</f>
        <v>#REF!</v>
      </c>
      <c r="Q74" s="56" t="e">
        <f t="shared" ref="Q74:Q92" ca="1" si="73">SUM(C74:O74)</f>
        <v>#REF!</v>
      </c>
    </row>
    <row r="75" spans="2:17">
      <c r="B75" s="33">
        <f>B74+0.5</f>
        <v>2</v>
      </c>
      <c r="C75" s="36" t="e">
        <f ca="1">PRODUCT(C31,7850,5.07*POWER(VLOOKUP($B75,$B$6:$X$24,2,0),2)/10000,C53)</f>
        <v>#REF!</v>
      </c>
      <c r="D75" s="119" t="e">
        <f ca="1">PRODUCT(D31,7850,5.07*POWER(VLOOKUP($B75,$B$6:$X$24,4,0),2)/10000,D53)</f>
        <v>#REF!</v>
      </c>
      <c r="E75" s="119" t="e">
        <f t="shared" ca="1" si="64"/>
        <v>#REF!</v>
      </c>
      <c r="F75" s="36" t="e">
        <f ca="1">PRODUCT(F31,7850,5.07*POWER(VLOOKUP($B75,$B$6:$X$24,8,0),2)/10000,F53)</f>
        <v>#REF!</v>
      </c>
      <c r="G75" s="36">
        <f t="shared" si="66"/>
        <v>0</v>
      </c>
      <c r="H75" s="36" t="e">
        <f t="shared" ca="1" si="67"/>
        <v>#REF!</v>
      </c>
      <c r="I75" s="119" t="e">
        <f t="shared" ca="1" si="68"/>
        <v>#REF!</v>
      </c>
      <c r="J75" s="36">
        <f t="shared" si="69"/>
        <v>5.0371242187499998</v>
      </c>
      <c r="K75" s="119">
        <f>PRODUCT(K31,7850,5.07*POWER(VLOOKUP($B75,$B$6:$X$24,18,0),2)/10000,K53)</f>
        <v>81.769316484375025</v>
      </c>
      <c r="L75" s="36" t="e">
        <f t="shared" ca="1" si="70"/>
        <v>#REF!</v>
      </c>
      <c r="M75" s="36" t="e">
        <f t="shared" ca="1" si="70"/>
        <v>#REF!</v>
      </c>
      <c r="N75" s="114" t="e">
        <f t="shared" ca="1" si="71"/>
        <v>#REF!</v>
      </c>
      <c r="O75" s="114" t="e">
        <f t="shared" ca="1" si="72"/>
        <v>#REF!</v>
      </c>
      <c r="Q75" s="56" t="e">
        <f ca="1">SUM(C75:O75)</f>
        <v>#REF!</v>
      </c>
    </row>
    <row r="76" spans="2:17">
      <c r="B76" s="33">
        <f t="shared" ref="B76:B91" si="74">B75+0.5</f>
        <v>2.5</v>
      </c>
      <c r="C76" s="36" t="e">
        <f t="shared" ref="C76:C88" ca="1" si="75">PRODUCT(C32,7850,5.07*POWER(VLOOKUP($B76,$B$6:$X$24,2,0),2)/10000,C54)</f>
        <v>#REF!</v>
      </c>
      <c r="D76" s="119" t="e">
        <f t="shared" ref="D76:D92" ca="1" si="76">PRODUCT(D32,7850,5.07*POWER(VLOOKUP($B76,$B$6:$X$24,4,0),2)/10000,D54)</f>
        <v>#REF!</v>
      </c>
      <c r="E76" s="119" t="e">
        <f t="shared" ca="1" si="64"/>
        <v>#REF!</v>
      </c>
      <c r="F76" s="36" t="e">
        <f t="shared" ca="1" si="65"/>
        <v>#REF!</v>
      </c>
      <c r="G76" s="36">
        <f t="shared" si="66"/>
        <v>0</v>
      </c>
      <c r="H76" s="36" t="e">
        <f t="shared" ca="1" si="67"/>
        <v>#REF!</v>
      </c>
      <c r="I76" s="119" t="e">
        <f t="shared" ca="1" si="68"/>
        <v>#REF!</v>
      </c>
      <c r="J76" s="36">
        <f t="shared" si="69"/>
        <v>6.1564851562499996</v>
      </c>
      <c r="K76" s="119">
        <f t="shared" ref="K76:K89" si="77">PRODUCT(K32,7850,5.07*POWER(VLOOKUP($B76,$B$6:$X$24,18,0),2)/10000,K54)</f>
        <v>81.769316484375025</v>
      </c>
      <c r="L76" s="36" t="e">
        <f t="shared" ca="1" si="70"/>
        <v>#REF!</v>
      </c>
      <c r="M76" s="36" t="e">
        <f t="shared" ca="1" si="70"/>
        <v>#REF!</v>
      </c>
      <c r="N76" s="114" t="e">
        <f t="shared" ca="1" si="71"/>
        <v>#REF!</v>
      </c>
      <c r="O76" s="114" t="e">
        <f t="shared" ca="1" si="72"/>
        <v>#REF!</v>
      </c>
      <c r="Q76" s="56" t="e">
        <f ca="1">SUM(C76:O76)</f>
        <v>#REF!</v>
      </c>
    </row>
    <row r="77" spans="2:17">
      <c r="B77" s="33">
        <f t="shared" si="74"/>
        <v>3</v>
      </c>
      <c r="C77" s="36" t="e">
        <f t="shared" ca="1" si="75"/>
        <v>#REF!</v>
      </c>
      <c r="D77" s="119" t="e">
        <f t="shared" ca="1" si="76"/>
        <v>#REF!</v>
      </c>
      <c r="E77" s="119" t="e">
        <f ca="1">PRODUCT(E33,7850,5.07*POWER(VLOOKUP($B77,$B$6:$X$24,6,0),2)/10000,E55)</f>
        <v>#REF!</v>
      </c>
      <c r="F77" s="36" t="e">
        <f t="shared" ca="1" si="65"/>
        <v>#REF!</v>
      </c>
      <c r="G77" s="36">
        <f t="shared" si="66"/>
        <v>0</v>
      </c>
      <c r="H77" s="36" t="e">
        <f t="shared" ca="1" si="67"/>
        <v>#REF!</v>
      </c>
      <c r="I77" s="119" t="e">
        <f t="shared" ca="1" si="68"/>
        <v>#REF!</v>
      </c>
      <c r="J77" s="36">
        <f t="shared" si="69"/>
        <v>7.2758460937500002</v>
      </c>
      <c r="K77" s="119">
        <f t="shared" si="77"/>
        <v>81.769316484375025</v>
      </c>
      <c r="L77" s="36" t="e">
        <f t="shared" ca="1" si="70"/>
        <v>#REF!</v>
      </c>
      <c r="M77" s="36" t="e">
        <f t="shared" ca="1" si="70"/>
        <v>#REF!</v>
      </c>
      <c r="N77" s="114" t="e">
        <f t="shared" ca="1" si="71"/>
        <v>#REF!</v>
      </c>
      <c r="O77" s="114" t="e">
        <f t="shared" ca="1" si="72"/>
        <v>#REF!</v>
      </c>
      <c r="Q77" s="56" t="e">
        <f t="shared" ca="1" si="73"/>
        <v>#REF!</v>
      </c>
    </row>
    <row r="78" spans="2:17">
      <c r="B78" s="33">
        <f t="shared" si="74"/>
        <v>3.5</v>
      </c>
      <c r="C78" s="36" t="e">
        <f t="shared" ca="1" si="75"/>
        <v>#REF!</v>
      </c>
      <c r="D78" s="119" t="e">
        <f t="shared" ca="1" si="76"/>
        <v>#REF!</v>
      </c>
      <c r="E78" s="119" t="e">
        <f t="shared" ca="1" si="64"/>
        <v>#REF!</v>
      </c>
      <c r="F78" s="36" t="e">
        <f t="shared" ca="1" si="65"/>
        <v>#REF!</v>
      </c>
      <c r="G78" s="36">
        <f t="shared" si="66"/>
        <v>0</v>
      </c>
      <c r="H78" s="36" t="e">
        <f t="shared" ca="1" si="67"/>
        <v>#REF!</v>
      </c>
      <c r="I78" s="119" t="e">
        <f t="shared" ca="1" si="68"/>
        <v>#REF!</v>
      </c>
      <c r="J78" s="36">
        <f t="shared" si="69"/>
        <v>8.9548874999999999</v>
      </c>
      <c r="K78" s="119">
        <f t="shared" si="77"/>
        <v>81.769316484375025</v>
      </c>
      <c r="L78" s="36" t="e">
        <f t="shared" ca="1" si="70"/>
        <v>#REF!</v>
      </c>
      <c r="M78" s="36" t="e">
        <f t="shared" ca="1" si="70"/>
        <v>#REF!</v>
      </c>
      <c r="N78" s="114" t="e">
        <f t="shared" ca="1" si="71"/>
        <v>#REF!</v>
      </c>
      <c r="O78" s="114" t="e">
        <f t="shared" ca="1" si="72"/>
        <v>#REF!</v>
      </c>
      <c r="Q78" s="56" t="e">
        <f t="shared" ca="1" si="73"/>
        <v>#REF!</v>
      </c>
    </row>
    <row r="79" spans="2:17">
      <c r="B79" s="33">
        <f t="shared" si="74"/>
        <v>4</v>
      </c>
      <c r="C79" s="36" t="e">
        <f t="shared" ca="1" si="75"/>
        <v>#REF!</v>
      </c>
      <c r="D79" s="119" t="e">
        <f t="shared" ca="1" si="76"/>
        <v>#REF!</v>
      </c>
      <c r="E79" s="119" t="e">
        <f t="shared" ca="1" si="64"/>
        <v>#REF!</v>
      </c>
      <c r="F79" s="36" t="e">
        <f t="shared" ca="1" si="65"/>
        <v>#REF!</v>
      </c>
      <c r="G79" s="36">
        <f t="shared" si="66"/>
        <v>0</v>
      </c>
      <c r="H79" s="36" t="e">
        <f t="shared" ca="1" si="67"/>
        <v>#REF!</v>
      </c>
      <c r="I79" s="119" t="e">
        <f t="shared" ca="1" si="68"/>
        <v>#REF!</v>
      </c>
      <c r="J79" s="36">
        <f t="shared" si="69"/>
        <v>10.0742484375</v>
      </c>
      <c r="K79" s="119">
        <f t="shared" si="77"/>
        <v>81.769316484375025</v>
      </c>
      <c r="L79" s="36" t="e">
        <f t="shared" ca="1" si="70"/>
        <v>#REF!</v>
      </c>
      <c r="M79" s="36" t="e">
        <f t="shared" ca="1" si="70"/>
        <v>#REF!</v>
      </c>
      <c r="N79" s="114" t="e">
        <f t="shared" ca="1" si="71"/>
        <v>#REF!</v>
      </c>
      <c r="O79" s="114" t="e">
        <f t="shared" ca="1" si="72"/>
        <v>#REF!</v>
      </c>
      <c r="Q79" s="56" t="e">
        <f t="shared" ca="1" si="73"/>
        <v>#REF!</v>
      </c>
    </row>
    <row r="80" spans="2:17">
      <c r="B80" s="33">
        <f t="shared" si="74"/>
        <v>4.5</v>
      </c>
      <c r="C80" s="36" t="e">
        <f t="shared" ca="1" si="75"/>
        <v>#REF!</v>
      </c>
      <c r="D80" s="119" t="e">
        <f t="shared" ca="1" si="76"/>
        <v>#REF!</v>
      </c>
      <c r="E80" s="119" t="e">
        <f t="shared" ca="1" si="64"/>
        <v>#REF!</v>
      </c>
      <c r="F80" s="36" t="e">
        <f t="shared" ca="1" si="65"/>
        <v>#REF!</v>
      </c>
      <c r="G80" s="36">
        <f t="shared" si="66"/>
        <v>0</v>
      </c>
      <c r="H80" s="36" t="e">
        <f t="shared" ca="1" si="67"/>
        <v>#REF!</v>
      </c>
      <c r="I80" s="119" t="e">
        <f t="shared" ca="1" si="68"/>
        <v>#REF!</v>
      </c>
      <c r="J80" s="36">
        <f t="shared" si="69"/>
        <v>11.193609374999999</v>
      </c>
      <c r="K80" s="119">
        <f t="shared" si="77"/>
        <v>68.141097070312512</v>
      </c>
      <c r="L80" s="36" t="e">
        <f t="shared" ca="1" si="70"/>
        <v>#REF!</v>
      </c>
      <c r="M80" s="36" t="e">
        <f t="shared" ca="1" si="70"/>
        <v>#REF!</v>
      </c>
      <c r="N80" s="114" t="e">
        <f t="shared" ca="1" si="71"/>
        <v>#REF!</v>
      </c>
      <c r="O80" s="114" t="e">
        <f t="shared" ca="1" si="72"/>
        <v>#REF!</v>
      </c>
      <c r="Q80" s="56" t="e">
        <f t="shared" ca="1" si="73"/>
        <v>#REF!</v>
      </c>
    </row>
    <row r="81" spans="2:20">
      <c r="B81" s="33">
        <f t="shared" si="74"/>
        <v>5</v>
      </c>
      <c r="C81" s="36" t="e">
        <f t="shared" ca="1" si="75"/>
        <v>#REF!</v>
      </c>
      <c r="D81" s="119" t="e">
        <f t="shared" ca="1" si="76"/>
        <v>#REF!</v>
      </c>
      <c r="E81" s="119" t="e">
        <f ca="1">PRODUCT(E37,7850,5.07*POWER(VLOOKUP($B81,$B$6:$X$24,6,0),2)/10000,E59)</f>
        <v>#REF!</v>
      </c>
      <c r="F81" s="36" t="e">
        <f ca="1">PRODUCT(F37,7850,5.07*POWER(VLOOKUP($B81,$B$6:$X$24,8,0),2)/10000,F59)</f>
        <v>#REF!</v>
      </c>
      <c r="G81" s="36">
        <f>PRODUCT(G37,7850,5.07*POWER(VLOOKUP($B81,$B$6:$X$24,10,0),2)/10000,G59)</f>
        <v>0</v>
      </c>
      <c r="H81" s="36" t="e">
        <f ca="1">PRODUCT(H37,7850,5.07*POWER(VLOOKUP($B81,$B$6:$X$24,12,0),2)/10000,H59)</f>
        <v>#REF!</v>
      </c>
      <c r="I81" s="119" t="e">
        <f ca="1">PRODUCT(I37,7850,5.07*POWER(VLOOKUP($B81,$B$6:$X$24,14,0),2)/10000,I59)</f>
        <v>#REF!</v>
      </c>
      <c r="J81" s="36">
        <f>PRODUCT(J37,7850,5.07*POWER(VLOOKUP($B81,$B$6:$X$24,16,0),2)/10000,J59)</f>
        <v>12.312970312499999</v>
      </c>
      <c r="K81" s="119">
        <f t="shared" si="77"/>
        <v>68.141097070312512</v>
      </c>
      <c r="L81" s="36" t="e">
        <f t="shared" ca="1" si="70"/>
        <v>#REF!</v>
      </c>
      <c r="M81" s="36" t="e">
        <f t="shared" ca="1" si="70"/>
        <v>#REF!</v>
      </c>
      <c r="N81" s="114" t="e">
        <f t="shared" ca="1" si="71"/>
        <v>#REF!</v>
      </c>
      <c r="O81" s="114" t="e">
        <f t="shared" ca="1" si="72"/>
        <v>#REF!</v>
      </c>
      <c r="Q81" s="56" t="e">
        <f t="shared" ca="1" si="73"/>
        <v>#REF!</v>
      </c>
    </row>
    <row r="82" spans="2:20">
      <c r="B82" s="33">
        <f t="shared" si="74"/>
        <v>5.5</v>
      </c>
      <c r="C82" s="36">
        <f t="shared" ca="1" si="75"/>
        <v>25.107265828125001</v>
      </c>
      <c r="D82" s="119">
        <f t="shared" ca="1" si="76"/>
        <v>84.336078942156632</v>
      </c>
      <c r="E82" s="119">
        <f t="shared" ca="1" si="64"/>
        <v>83.796603515625009</v>
      </c>
      <c r="F82" s="36">
        <f t="shared" ca="1" si="65"/>
        <v>11.815476562500001</v>
      </c>
      <c r="G82" s="36">
        <f t="shared" si="66"/>
        <v>0</v>
      </c>
      <c r="H82" s="36">
        <f t="shared" ca="1" si="67"/>
        <v>11.815476562500001</v>
      </c>
      <c r="I82" s="119">
        <f t="shared" ca="1" si="68"/>
        <v>83.796603515625009</v>
      </c>
      <c r="J82" s="36">
        <f t="shared" si="69"/>
        <v>15.671053125</v>
      </c>
      <c r="K82" s="119">
        <f t="shared" si="77"/>
        <v>58.406654631696448</v>
      </c>
      <c r="L82" s="36">
        <f t="shared" ca="1" si="70"/>
        <v>10.882675781250001</v>
      </c>
      <c r="M82" s="36">
        <f t="shared" ca="1" si="70"/>
        <v>10.882675781250001</v>
      </c>
      <c r="N82" s="114">
        <v>0.125</v>
      </c>
      <c r="O82" s="114" t="e">
        <f ca="1">PRODUCT(O38,7850,5.07*POWER(VLOOKUP($B82,$B$6:$AO$24,39,0),2)/10000,O60)</f>
        <v>#DIV/0!</v>
      </c>
      <c r="Q82" s="56" t="e">
        <f t="shared" ca="1" si="73"/>
        <v>#DIV/0!</v>
      </c>
    </row>
    <row r="83" spans="2:20">
      <c r="B83" s="33">
        <f t="shared" si="74"/>
        <v>6</v>
      </c>
      <c r="C83" s="36" t="e">
        <f t="shared" ca="1" si="75"/>
        <v>#REF!</v>
      </c>
      <c r="D83" s="119" t="e">
        <f t="shared" ca="1" si="76"/>
        <v>#REF!</v>
      </c>
      <c r="E83" s="119" t="e">
        <f t="shared" ca="1" si="64"/>
        <v>#REF!</v>
      </c>
      <c r="F83" s="36" t="e">
        <f t="shared" ca="1" si="65"/>
        <v>#REF!</v>
      </c>
      <c r="G83" s="36">
        <f t="shared" si="66"/>
        <v>0</v>
      </c>
      <c r="H83" s="36" t="e">
        <f t="shared" ca="1" si="67"/>
        <v>#REF!</v>
      </c>
      <c r="I83" s="119" t="e">
        <f t="shared" ca="1" si="68"/>
        <v>#REF!</v>
      </c>
      <c r="J83" s="36">
        <f t="shared" si="69"/>
        <v>19.029135937500001</v>
      </c>
      <c r="K83" s="119">
        <f t="shared" si="77"/>
        <v>58.406654631696448</v>
      </c>
      <c r="L83" s="36" t="e">
        <f t="shared" ca="1" si="70"/>
        <v>#REF!</v>
      </c>
      <c r="M83" s="36" t="e">
        <f t="shared" ca="1" si="70"/>
        <v>#REF!</v>
      </c>
      <c r="N83" s="114" t="e">
        <f t="shared" ca="1" si="71"/>
        <v>#REF!</v>
      </c>
      <c r="O83" s="114" t="e">
        <f t="shared" ca="1" si="72"/>
        <v>#REF!</v>
      </c>
      <c r="Q83" s="56" t="e">
        <f t="shared" ca="1" si="73"/>
        <v>#REF!</v>
      </c>
    </row>
    <row r="84" spans="2:20">
      <c r="B84" s="33">
        <f t="shared" si="74"/>
        <v>6.5</v>
      </c>
      <c r="C84" s="36" t="e">
        <f t="shared" ca="1" si="75"/>
        <v>#REF!</v>
      </c>
      <c r="D84" s="119" t="e">
        <f t="shared" ca="1" si="76"/>
        <v>#REF!</v>
      </c>
      <c r="E84" s="119" t="e">
        <f t="shared" ca="1" si="64"/>
        <v>#REF!</v>
      </c>
      <c r="F84" s="36" t="e">
        <f t="shared" ca="1" si="65"/>
        <v>#REF!</v>
      </c>
      <c r="G84" s="36" t="e">
        <f ca="1">PRODUCT(G40,7850,5.07*POWER(VLOOKUP($B84,$B$6:$X$24,10,0),2)/10000,G62)</f>
        <v>#REF!</v>
      </c>
      <c r="H84" s="36" t="e">
        <f t="shared" ca="1" si="67"/>
        <v>#REF!</v>
      </c>
      <c r="I84" s="119" t="e">
        <f t="shared" ca="1" si="68"/>
        <v>#REF!</v>
      </c>
      <c r="J84" s="36">
        <f t="shared" si="69"/>
        <v>20.708177343749998</v>
      </c>
      <c r="K84" s="119">
        <f t="shared" si="77"/>
        <v>58.406654631696448</v>
      </c>
      <c r="L84" s="36" t="e">
        <f t="shared" ca="1" si="70"/>
        <v>#REF!</v>
      </c>
      <c r="M84" s="36" t="e">
        <f t="shared" ca="1" si="70"/>
        <v>#REF!</v>
      </c>
      <c r="N84" s="114" t="e">
        <f t="shared" ca="1" si="71"/>
        <v>#REF!</v>
      </c>
      <c r="O84" s="114" t="e">
        <f t="shared" ca="1" si="72"/>
        <v>#REF!</v>
      </c>
      <c r="Q84" s="56" t="e">
        <f t="shared" ca="1" si="73"/>
        <v>#REF!</v>
      </c>
    </row>
    <row r="85" spans="2:20">
      <c r="B85" s="33">
        <f t="shared" si="74"/>
        <v>7</v>
      </c>
      <c r="C85" s="36" t="e">
        <f t="shared" ca="1" si="75"/>
        <v>#REF!</v>
      </c>
      <c r="D85" s="119" t="e">
        <f t="shared" ca="1" si="76"/>
        <v>#REF!</v>
      </c>
      <c r="E85" s="119" t="e">
        <f t="shared" ca="1" si="64"/>
        <v>#REF!</v>
      </c>
      <c r="F85" s="36" t="e">
        <f t="shared" ca="1" si="65"/>
        <v>#REF!</v>
      </c>
      <c r="G85" s="36" t="e">
        <f t="shared" ca="1" si="66"/>
        <v>#REF!</v>
      </c>
      <c r="H85" s="36" t="e">
        <f t="shared" ca="1" si="67"/>
        <v>#REF!</v>
      </c>
      <c r="I85" s="119" t="e">
        <f t="shared" ca="1" si="68"/>
        <v>#REF!</v>
      </c>
      <c r="J85" s="36">
        <f t="shared" si="69"/>
        <v>22.387218749999999</v>
      </c>
      <c r="K85" s="119">
        <f t="shared" si="77"/>
        <v>51.105822802734387</v>
      </c>
      <c r="L85" s="36" t="e">
        <f t="shared" ca="1" si="70"/>
        <v>#REF!</v>
      </c>
      <c r="M85" s="36" t="e">
        <f t="shared" ca="1" si="70"/>
        <v>#REF!</v>
      </c>
      <c r="N85" s="114" t="e">
        <f t="shared" ca="1" si="71"/>
        <v>#REF!</v>
      </c>
      <c r="O85" s="114" t="e">
        <f t="shared" ca="1" si="72"/>
        <v>#REF!</v>
      </c>
      <c r="Q85" s="56" t="e">
        <f t="shared" ca="1" si="73"/>
        <v>#REF!</v>
      </c>
    </row>
    <row r="86" spans="2:20">
      <c r="B86" s="33">
        <f t="shared" si="74"/>
        <v>7.5</v>
      </c>
      <c r="C86" s="36" t="e">
        <f t="shared" ca="1" si="75"/>
        <v>#REF!</v>
      </c>
      <c r="D86" s="119" t="e">
        <f t="shared" ca="1" si="76"/>
        <v>#REF!</v>
      </c>
      <c r="E86" s="119" t="e">
        <f t="shared" ca="1" si="64"/>
        <v>#REF!</v>
      </c>
      <c r="F86" s="36" t="e">
        <f t="shared" ca="1" si="65"/>
        <v>#REF!</v>
      </c>
      <c r="G86" s="36" t="e">
        <f t="shared" ca="1" si="66"/>
        <v>#REF!</v>
      </c>
      <c r="H86" s="36" t="e">
        <f t="shared" ca="1" si="67"/>
        <v>#REF!</v>
      </c>
      <c r="I86" s="119" t="e">
        <f t="shared" ca="1" si="68"/>
        <v>#REF!</v>
      </c>
      <c r="J86" s="36">
        <f t="shared" si="69"/>
        <v>29.849625000000003</v>
      </c>
      <c r="K86" s="119">
        <f t="shared" si="77"/>
        <v>51.105822802734387</v>
      </c>
      <c r="L86" s="36" t="e">
        <f t="shared" ca="1" si="70"/>
        <v>#REF!</v>
      </c>
      <c r="M86" s="36" t="e">
        <f t="shared" ca="1" si="70"/>
        <v>#REF!</v>
      </c>
      <c r="N86" s="114" t="e">
        <f t="shared" ca="1" si="71"/>
        <v>#REF!</v>
      </c>
      <c r="O86" s="114" t="e">
        <f t="shared" ca="1" si="72"/>
        <v>#REF!</v>
      </c>
      <c r="Q86" s="56" t="e">
        <f t="shared" ca="1" si="73"/>
        <v>#REF!</v>
      </c>
    </row>
    <row r="87" spans="2:20">
      <c r="B87" s="33">
        <f t="shared" si="74"/>
        <v>8</v>
      </c>
      <c r="C87" s="36" t="e">
        <f t="shared" ca="1" si="75"/>
        <v>#REF!</v>
      </c>
      <c r="D87" s="119" t="e">
        <f t="shared" ca="1" si="76"/>
        <v>#REF!</v>
      </c>
      <c r="E87" s="119" t="e">
        <f t="shared" ca="1" si="64"/>
        <v>#REF!</v>
      </c>
      <c r="F87" s="36" t="e">
        <f t="shared" ca="1" si="65"/>
        <v>#REF!</v>
      </c>
      <c r="G87" s="36" t="e">
        <f t="shared" ca="1" si="66"/>
        <v>#REF!</v>
      </c>
      <c r="H87" s="36" t="e">
        <f t="shared" ca="1" si="67"/>
        <v>#REF!</v>
      </c>
      <c r="I87" s="119" t="e">
        <f t="shared" ca="1" si="68"/>
        <v>#REF!</v>
      </c>
      <c r="J87" s="36">
        <f t="shared" si="69"/>
        <v>31.839600000000004</v>
      </c>
      <c r="K87" s="119">
        <f t="shared" si="77"/>
        <v>51.105822802734387</v>
      </c>
      <c r="L87" s="36" t="e">
        <f t="shared" ca="1" si="70"/>
        <v>#REF!</v>
      </c>
      <c r="M87" s="36" t="e">
        <f t="shared" ca="1" si="70"/>
        <v>#REF!</v>
      </c>
      <c r="N87" s="114" t="e">
        <f t="shared" ca="1" si="71"/>
        <v>#REF!</v>
      </c>
      <c r="O87" s="114" t="e">
        <f t="shared" ca="1" si="72"/>
        <v>#REF!</v>
      </c>
      <c r="Q87" s="56" t="e">
        <f t="shared" ca="1" si="73"/>
        <v>#REF!</v>
      </c>
    </row>
    <row r="88" spans="2:20">
      <c r="B88" s="33">
        <f t="shared" si="74"/>
        <v>8.5</v>
      </c>
      <c r="C88" s="36" t="e">
        <f t="shared" ca="1" si="75"/>
        <v>#REF!</v>
      </c>
      <c r="D88" s="119" t="e">
        <f t="shared" ca="1" si="76"/>
        <v>#REF!</v>
      </c>
      <c r="E88" s="119" t="e">
        <f t="shared" ca="1" si="64"/>
        <v>#REF!</v>
      </c>
      <c r="F88" s="36" t="e">
        <f t="shared" ca="1" si="65"/>
        <v>#REF!</v>
      </c>
      <c r="G88" s="36" t="e">
        <f t="shared" ca="1" si="66"/>
        <v>#REF!</v>
      </c>
      <c r="H88" s="36" t="e">
        <f t="shared" ca="1" si="67"/>
        <v>#REF!</v>
      </c>
      <c r="I88" s="119" t="e">
        <f t="shared" ca="1" si="68"/>
        <v>#REF!</v>
      </c>
      <c r="J88" s="36">
        <f t="shared" si="69"/>
        <v>37.809525000000008</v>
      </c>
      <c r="K88" s="119">
        <f t="shared" si="77"/>
        <v>51.105822802734387</v>
      </c>
      <c r="L88" s="36" t="e">
        <f t="shared" ca="1" si="70"/>
        <v>#REF!</v>
      </c>
      <c r="M88" s="36" t="e">
        <f t="shared" ca="1" si="70"/>
        <v>#REF!</v>
      </c>
      <c r="N88" s="114" t="e">
        <f t="shared" ca="1" si="71"/>
        <v>#REF!</v>
      </c>
      <c r="O88" s="114" t="e">
        <f t="shared" ca="1" si="72"/>
        <v>#REF!</v>
      </c>
      <c r="Q88" s="56" t="e">
        <f t="shared" ca="1" si="73"/>
        <v>#REF!</v>
      </c>
    </row>
    <row r="89" spans="2:20">
      <c r="B89" s="33">
        <f t="shared" si="74"/>
        <v>9</v>
      </c>
      <c r="C89" s="36" t="e">
        <f ca="1">PRODUCT(C45,7850,5.07*POWER(VLOOKUP($B89,$B$6:$X$24,2,0),2)/10000,C67)</f>
        <v>#REF!</v>
      </c>
      <c r="D89" s="119" t="e">
        <f t="shared" ca="1" si="76"/>
        <v>#REF!</v>
      </c>
      <c r="E89" s="119" t="e">
        <f t="shared" ca="1" si="64"/>
        <v>#REF!</v>
      </c>
      <c r="F89" s="36" t="e">
        <f t="shared" ca="1" si="65"/>
        <v>#REF!</v>
      </c>
      <c r="G89" s="36" t="e">
        <f t="shared" ca="1" si="66"/>
        <v>#REF!</v>
      </c>
      <c r="H89" s="36" t="e">
        <f t="shared" ca="1" si="67"/>
        <v>#REF!</v>
      </c>
      <c r="I89" s="119" t="e">
        <f t="shared" ca="1" si="68"/>
        <v>#REF!</v>
      </c>
      <c r="J89" s="36">
        <f t="shared" si="69"/>
        <v>39.799500000000009</v>
      </c>
      <c r="K89" s="119">
        <f t="shared" si="77"/>
        <v>51.105822802734387</v>
      </c>
      <c r="L89" s="36" t="e">
        <f t="shared" ca="1" si="70"/>
        <v>#REF!</v>
      </c>
      <c r="M89" s="36" t="e">
        <f t="shared" ca="1" si="70"/>
        <v>#REF!</v>
      </c>
      <c r="N89" s="114" t="e">
        <f t="shared" ca="1" si="71"/>
        <v>#REF!</v>
      </c>
      <c r="O89" s="114" t="e">
        <f t="shared" ca="1" si="72"/>
        <v>#REF!</v>
      </c>
      <c r="Q89" s="56" t="e">
        <f t="shared" ca="1" si="73"/>
        <v>#REF!</v>
      </c>
    </row>
    <row r="90" spans="2:20">
      <c r="B90" s="33">
        <f>B89+0.5</f>
        <v>9.5</v>
      </c>
      <c r="C90" s="36" t="e">
        <f ca="1">PRODUCT(C46,7850,5.07*POWER(VLOOKUP($B90,$B$6:$X$24,2,0),2)/10000,C68)</f>
        <v>#REF!</v>
      </c>
      <c r="D90" s="119" t="e">
        <f t="shared" ca="1" si="76"/>
        <v>#REF!</v>
      </c>
      <c r="E90" s="119" t="e">
        <f t="shared" ca="1" si="64"/>
        <v>#REF!</v>
      </c>
      <c r="F90" s="36" t="e">
        <f t="shared" ca="1" si="65"/>
        <v>#REF!</v>
      </c>
      <c r="G90" s="36" t="e">
        <f t="shared" ca="1" si="66"/>
        <v>#REF!</v>
      </c>
      <c r="H90" s="36" t="e">
        <f t="shared" ca="1" si="67"/>
        <v>#REF!</v>
      </c>
      <c r="I90" s="119" t="e">
        <f t="shared" ca="1" si="68"/>
        <v>#REF!</v>
      </c>
      <c r="J90" s="36" t="e">
        <f t="shared" ca="1" si="69"/>
        <v>#REF!</v>
      </c>
      <c r="K90" s="119" t="e">
        <f ca="1">PRODUCT(K46,7850,5.07*POWER(VLOOKUP($B90,$B$6:$X$24,18,0),2)/10000,K68)</f>
        <v>#REF!</v>
      </c>
      <c r="L90" s="36" t="e">
        <f t="shared" ca="1" si="70"/>
        <v>#REF!</v>
      </c>
      <c r="M90" s="36" t="e">
        <f t="shared" ca="1" si="70"/>
        <v>#REF!</v>
      </c>
      <c r="N90" s="114" t="e">
        <f t="shared" ca="1" si="71"/>
        <v>#REF!</v>
      </c>
      <c r="O90" s="114" t="e">
        <f t="shared" ca="1" si="72"/>
        <v>#REF!</v>
      </c>
      <c r="Q90" s="56" t="e">
        <f t="shared" ca="1" si="73"/>
        <v>#REF!</v>
      </c>
    </row>
    <row r="91" spans="2:20">
      <c r="B91" s="33">
        <f t="shared" si="74"/>
        <v>10</v>
      </c>
      <c r="C91" s="36" t="e">
        <f ca="1">PRODUCT(C47,7850,5.07*POWER(VLOOKUP($B91,$B$6:$X$24,2,0),2)/10000,C69)</f>
        <v>#REF!</v>
      </c>
      <c r="D91" s="119" t="e">
        <f t="shared" ca="1" si="76"/>
        <v>#REF!</v>
      </c>
      <c r="E91" s="119" t="e">
        <f t="shared" ca="1" si="64"/>
        <v>#REF!</v>
      </c>
      <c r="F91" s="36" t="e">
        <f t="shared" ca="1" si="65"/>
        <v>#REF!</v>
      </c>
      <c r="G91" s="36" t="e">
        <f t="shared" ca="1" si="66"/>
        <v>#REF!</v>
      </c>
      <c r="H91" s="36" t="e">
        <f t="shared" ca="1" si="67"/>
        <v>#REF!</v>
      </c>
      <c r="I91" s="119" t="e">
        <f t="shared" ca="1" si="68"/>
        <v>#REF!</v>
      </c>
      <c r="J91" s="36" t="e">
        <f t="shared" ca="1" si="69"/>
        <v>#REF!</v>
      </c>
      <c r="K91" s="119" t="e">
        <f ca="1">PRODUCT(K47,7850,5.07*POWER(VLOOKUP($B91,$B$6:$X$24,18,0),2)/10000,K69)</f>
        <v>#REF!</v>
      </c>
      <c r="L91" s="36" t="e">
        <f t="shared" ca="1" si="70"/>
        <v>#REF!</v>
      </c>
      <c r="M91" s="36" t="e">
        <f t="shared" ca="1" si="70"/>
        <v>#REF!</v>
      </c>
      <c r="N91" s="114" t="e">
        <f t="shared" ca="1" si="71"/>
        <v>#REF!</v>
      </c>
      <c r="O91" s="114" t="e">
        <f t="shared" ca="1" si="72"/>
        <v>#REF!</v>
      </c>
      <c r="Q91" s="56" t="e">
        <f t="shared" ca="1" si="73"/>
        <v>#REF!</v>
      </c>
    </row>
    <row r="92" spans="2:20">
      <c r="B92" s="33">
        <f>B91+0.5</f>
        <v>10.5</v>
      </c>
      <c r="C92" s="36" t="e">
        <f ca="1">PRODUCT(C48,7850,5.07*POWER(VLOOKUP($B92,$B$6:$X$24,2,0),2)/10000,C70)</f>
        <v>#REF!</v>
      </c>
      <c r="D92" s="119" t="e">
        <f t="shared" ca="1" si="76"/>
        <v>#REF!</v>
      </c>
      <c r="E92" s="119" t="e">
        <f t="shared" ca="1" si="64"/>
        <v>#REF!</v>
      </c>
      <c r="F92" s="36" t="e">
        <f t="shared" ca="1" si="65"/>
        <v>#REF!</v>
      </c>
      <c r="G92" s="36" t="e">
        <f t="shared" ca="1" si="66"/>
        <v>#REF!</v>
      </c>
      <c r="H92" s="36" t="e">
        <f t="shared" ca="1" si="67"/>
        <v>#REF!</v>
      </c>
      <c r="I92" s="119" t="e">
        <f t="shared" ca="1" si="68"/>
        <v>#REF!</v>
      </c>
      <c r="J92" s="36" t="e">
        <f t="shared" ca="1" si="69"/>
        <v>#REF!</v>
      </c>
      <c r="K92" s="119" t="e">
        <f ca="1">PRODUCT(K48,7850,5.07*POWER(VLOOKUP($B92,$B$6:$X$24,18,0),2)/10000,K70)</f>
        <v>#REF!</v>
      </c>
      <c r="L92" s="36" t="e">
        <f t="shared" ca="1" si="70"/>
        <v>#REF!</v>
      </c>
      <c r="M92" s="36" t="e">
        <f t="shared" ca="1" si="70"/>
        <v>#REF!</v>
      </c>
      <c r="N92" s="114" t="e">
        <f t="shared" ca="1" si="71"/>
        <v>#REF!</v>
      </c>
      <c r="O92" s="114" t="e">
        <f t="shared" ca="1" si="72"/>
        <v>#REF!</v>
      </c>
      <c r="Q92" s="56" t="e">
        <f t="shared" ca="1" si="73"/>
        <v>#REF!</v>
      </c>
    </row>
    <row r="94" spans="2:20">
      <c r="B94" s="33">
        <v>1.5</v>
      </c>
      <c r="C94" s="33">
        <f t="shared" ref="C94:T94" si="78">B94+0.5</f>
        <v>2</v>
      </c>
      <c r="D94" s="33">
        <f t="shared" si="78"/>
        <v>2.5</v>
      </c>
      <c r="E94" s="33">
        <f t="shared" si="78"/>
        <v>3</v>
      </c>
      <c r="F94" s="33">
        <f t="shared" si="78"/>
        <v>3.5</v>
      </c>
      <c r="G94" s="33">
        <f t="shared" si="78"/>
        <v>4</v>
      </c>
      <c r="H94" s="33">
        <f t="shared" si="78"/>
        <v>4.5</v>
      </c>
      <c r="I94" s="33">
        <f t="shared" si="78"/>
        <v>5</v>
      </c>
      <c r="J94" s="33">
        <f t="shared" si="78"/>
        <v>5.5</v>
      </c>
      <c r="K94" s="33">
        <f t="shared" si="78"/>
        <v>6</v>
      </c>
      <c r="L94" s="33">
        <f t="shared" si="78"/>
        <v>6.5</v>
      </c>
      <c r="M94" s="33">
        <f t="shared" si="78"/>
        <v>7</v>
      </c>
      <c r="N94" s="33">
        <f t="shared" si="78"/>
        <v>7.5</v>
      </c>
      <c r="O94" s="33">
        <f t="shared" si="78"/>
        <v>8</v>
      </c>
      <c r="P94" s="33">
        <f t="shared" si="78"/>
        <v>8.5</v>
      </c>
      <c r="Q94" s="33">
        <f>P94+0.5</f>
        <v>9</v>
      </c>
      <c r="R94" s="33">
        <f>Q94+0.5</f>
        <v>9.5</v>
      </c>
      <c r="S94" s="33">
        <f t="shared" si="78"/>
        <v>10</v>
      </c>
      <c r="T94" s="33">
        <f t="shared" si="78"/>
        <v>10.5</v>
      </c>
    </row>
    <row r="95" spans="2:20">
      <c r="B95" s="33" t="e">
        <f ca="1">Q74</f>
        <v>#REF!</v>
      </c>
      <c r="C95" s="33" t="e">
        <f ca="1">Q75</f>
        <v>#REF!</v>
      </c>
      <c r="D95" s="33" t="e">
        <f ca="1">Q76</f>
        <v>#REF!</v>
      </c>
      <c r="E95" s="33" t="e">
        <f ca="1">Q77</f>
        <v>#REF!</v>
      </c>
      <c r="F95" s="33" t="e">
        <f ca="1">Q78</f>
        <v>#REF!</v>
      </c>
      <c r="G95" s="33" t="e">
        <f ca="1">Q79</f>
        <v>#REF!</v>
      </c>
      <c r="H95" s="33" t="e">
        <f ca="1">Q80</f>
        <v>#REF!</v>
      </c>
      <c r="I95" s="33" t="e">
        <f ca="1">Q81</f>
        <v>#REF!</v>
      </c>
      <c r="J95" s="33" t="e">
        <f ca="1">Q82</f>
        <v>#DIV/0!</v>
      </c>
      <c r="K95" s="33" t="e">
        <f ca="1">Q83</f>
        <v>#REF!</v>
      </c>
      <c r="L95" s="33" t="e">
        <f ca="1">Q84</f>
        <v>#REF!</v>
      </c>
      <c r="M95" s="33" t="e">
        <f ca="1">Q85</f>
        <v>#REF!</v>
      </c>
      <c r="N95" s="33" t="e">
        <f ca="1">Q86</f>
        <v>#REF!</v>
      </c>
      <c r="O95" s="33" t="e">
        <f ca="1">Q87</f>
        <v>#REF!</v>
      </c>
      <c r="P95" s="33" t="e">
        <f ca="1">Q88</f>
        <v>#REF!</v>
      </c>
      <c r="Q95" s="33" t="e">
        <f ca="1">Q89</f>
        <v>#REF!</v>
      </c>
      <c r="R95" s="33" t="e">
        <f ca="1">Q90</f>
        <v>#REF!</v>
      </c>
      <c r="S95" s="33" t="e">
        <f ca="1">Q91</f>
        <v>#REF!</v>
      </c>
      <c r="T95" s="33" t="e">
        <f ca="1">Q92</f>
        <v>#REF!</v>
      </c>
    </row>
    <row r="96" spans="2:20"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125" t="s">
        <v>194</v>
      </c>
      <c r="S96" s="36"/>
      <c r="T96" s="36"/>
    </row>
    <row r="97" spans="1:18">
      <c r="B97" s="57" t="s">
        <v>194</v>
      </c>
      <c r="C97" s="116" t="s">
        <v>202</v>
      </c>
      <c r="D97" s="116" t="s">
        <v>203</v>
      </c>
      <c r="E97" s="116" t="s">
        <v>72</v>
      </c>
      <c r="F97" s="116" t="s">
        <v>27</v>
      </c>
      <c r="G97" s="116" t="s">
        <v>204</v>
      </c>
      <c r="H97" s="116" t="s">
        <v>205</v>
      </c>
      <c r="I97" s="116" t="s">
        <v>204</v>
      </c>
      <c r="J97" s="116" t="s">
        <v>205</v>
      </c>
      <c r="K97" s="89" t="s">
        <v>206</v>
      </c>
      <c r="L97" s="89" t="s">
        <v>207</v>
      </c>
      <c r="M97" s="89" t="s">
        <v>209</v>
      </c>
      <c r="N97" s="89" t="s">
        <v>107</v>
      </c>
      <c r="Q97" s="89" t="s">
        <v>138</v>
      </c>
      <c r="R97" s="89" t="s">
        <v>210</v>
      </c>
    </row>
    <row r="98" spans="1:18">
      <c r="A98" s="28">
        <v>2</v>
      </c>
      <c r="B98" s="89" t="s">
        <v>208</v>
      </c>
      <c r="C98" s="117">
        <v>0.2</v>
      </c>
      <c r="D98" s="117">
        <v>1.72</v>
      </c>
      <c r="E98" s="117">
        <v>2.5</v>
      </c>
      <c r="F98" s="117">
        <v>5</v>
      </c>
      <c r="G98" s="117">
        <v>0.126</v>
      </c>
      <c r="H98" s="117">
        <v>0.24</v>
      </c>
      <c r="I98" s="57">
        <f>DEGREES(ATAN(G98))</f>
        <v>7.1814236942152956</v>
      </c>
      <c r="J98" s="57">
        <f>DEGREES(ATAN(H98))</f>
        <v>13.495733280795811</v>
      </c>
      <c r="K98" s="118">
        <f>E98/COS(RADIANS(I98))</f>
        <v>2.5197668542942617</v>
      </c>
      <c r="L98" s="118">
        <f>F98/COS(RADIANS(J98))</f>
        <v>5.1419840528729761</v>
      </c>
      <c r="M98" s="27">
        <f>(G98*E98+D98)/2</f>
        <v>1.0175000000000001</v>
      </c>
      <c r="N98" s="28">
        <f>0.126*E98+C98</f>
        <v>0.51500000000000001</v>
      </c>
      <c r="O98" s="57" t="s">
        <v>195</v>
      </c>
      <c r="Q98" s="28">
        <f>C98*E98+C98*F98+(N98-C98)*E98/2+(N98-C98)*F98+(D98-N98)*F98/2</f>
        <v>6.4812500000000002</v>
      </c>
      <c r="R98" s="28">
        <f>Q98*0.1</f>
        <v>0.64812500000000006</v>
      </c>
    </row>
    <row r="99" spans="1:18">
      <c r="A99" s="28">
        <v>2.5</v>
      </c>
      <c r="B99" s="89" t="s">
        <v>208</v>
      </c>
      <c r="C99" s="117">
        <v>0.2</v>
      </c>
      <c r="D99" s="117">
        <v>1.72</v>
      </c>
      <c r="E99" s="117">
        <v>2.5</v>
      </c>
      <c r="F99" s="117">
        <v>5</v>
      </c>
      <c r="G99" s="117">
        <v>0.126</v>
      </c>
      <c r="H99" s="117">
        <v>0.24</v>
      </c>
      <c r="I99" s="57">
        <f t="shared" ref="I99:I111" si="79">DEGREES(ATAN(G99))</f>
        <v>7.1814236942152956</v>
      </c>
      <c r="J99" s="57">
        <f t="shared" ref="J99:J111" si="80">DEGREES(ATAN(H99))</f>
        <v>13.495733280795811</v>
      </c>
      <c r="K99" s="118">
        <f t="shared" ref="K99:K111" si="81">E99/COS(RADIANS(I99))</f>
        <v>2.5197668542942617</v>
      </c>
      <c r="L99" s="118">
        <f t="shared" ref="L99:L111" si="82">F99/COS(RADIANS(J99))</f>
        <v>5.1419840528729761</v>
      </c>
      <c r="M99" s="27">
        <f t="shared" ref="M99:M112" si="83">(G99*E99+D99)/2</f>
        <v>1.0175000000000001</v>
      </c>
      <c r="N99" s="28">
        <f t="shared" ref="N99:N112" si="84">0.126*E99+C99</f>
        <v>0.51500000000000001</v>
      </c>
      <c r="O99" s="115" t="s">
        <v>196</v>
      </c>
      <c r="Q99" s="28">
        <f t="shared" ref="Q99:Q112" si="85">C99*E99+C99*F99+(N99-C99)*E99/2+(N99-C99)*F99+(D99-N99)*F99/2</f>
        <v>6.4812500000000002</v>
      </c>
      <c r="R99" s="28">
        <f t="shared" ref="R99:R112" si="86">Q99*0.1</f>
        <v>0.64812500000000006</v>
      </c>
    </row>
    <row r="100" spans="1:18">
      <c r="A100" s="28">
        <v>3</v>
      </c>
      <c r="B100" s="89" t="s">
        <v>208</v>
      </c>
      <c r="C100" s="117">
        <v>0.2</v>
      </c>
      <c r="D100" s="117">
        <v>1.72</v>
      </c>
      <c r="E100" s="117">
        <v>2.5</v>
      </c>
      <c r="F100" s="117">
        <v>5</v>
      </c>
      <c r="G100" s="117">
        <v>0.126</v>
      </c>
      <c r="H100" s="117">
        <v>0.24</v>
      </c>
      <c r="I100" s="57">
        <f t="shared" si="79"/>
        <v>7.1814236942152956</v>
      </c>
      <c r="J100" s="57">
        <f t="shared" si="80"/>
        <v>13.495733280795811</v>
      </c>
      <c r="K100" s="118">
        <f t="shared" si="81"/>
        <v>2.5197668542942617</v>
      </c>
      <c r="L100" s="118">
        <f t="shared" si="82"/>
        <v>5.1419840528729761</v>
      </c>
      <c r="M100" s="27">
        <f t="shared" si="83"/>
        <v>1.0175000000000001</v>
      </c>
      <c r="N100" s="28">
        <f t="shared" si="84"/>
        <v>0.51500000000000001</v>
      </c>
      <c r="O100" s="115" t="s">
        <v>197</v>
      </c>
      <c r="Q100" s="28">
        <f t="shared" si="85"/>
        <v>6.4812500000000002</v>
      </c>
      <c r="R100" s="28">
        <f t="shared" si="86"/>
        <v>0.64812500000000006</v>
      </c>
    </row>
    <row r="101" spans="1:18">
      <c r="A101" s="28">
        <v>3.5</v>
      </c>
      <c r="B101" s="89" t="s">
        <v>208</v>
      </c>
      <c r="C101" s="117">
        <v>0.2</v>
      </c>
      <c r="D101" s="117">
        <v>1.72</v>
      </c>
      <c r="E101" s="117">
        <v>2.5</v>
      </c>
      <c r="F101" s="117">
        <v>5</v>
      </c>
      <c r="G101" s="117">
        <v>0.126</v>
      </c>
      <c r="H101" s="117">
        <v>0.24</v>
      </c>
      <c r="I101" s="57">
        <f t="shared" si="79"/>
        <v>7.1814236942152956</v>
      </c>
      <c r="J101" s="57">
        <f t="shared" si="80"/>
        <v>13.495733280795811</v>
      </c>
      <c r="K101" s="118">
        <f t="shared" si="81"/>
        <v>2.5197668542942617</v>
      </c>
      <c r="L101" s="118">
        <f t="shared" si="82"/>
        <v>5.1419840528729761</v>
      </c>
      <c r="M101" s="27">
        <f t="shared" si="83"/>
        <v>1.0175000000000001</v>
      </c>
      <c r="N101" s="28">
        <f t="shared" si="84"/>
        <v>0.51500000000000001</v>
      </c>
      <c r="O101" s="115" t="s">
        <v>198</v>
      </c>
      <c r="P101" s="89"/>
      <c r="Q101" s="28">
        <f t="shared" si="85"/>
        <v>6.4812500000000002</v>
      </c>
      <c r="R101" s="28">
        <f t="shared" si="86"/>
        <v>0.64812500000000006</v>
      </c>
    </row>
    <row r="102" spans="1:18">
      <c r="A102" s="28">
        <v>4</v>
      </c>
      <c r="B102" s="89" t="s">
        <v>208</v>
      </c>
      <c r="C102" s="117">
        <v>0.2</v>
      </c>
      <c r="D102" s="117">
        <v>1.72</v>
      </c>
      <c r="E102" s="117">
        <v>2.5</v>
      </c>
      <c r="F102" s="117">
        <v>5</v>
      </c>
      <c r="G102" s="117">
        <v>0.126</v>
      </c>
      <c r="H102" s="117">
        <v>0.24</v>
      </c>
      <c r="I102" s="57">
        <f t="shared" si="79"/>
        <v>7.1814236942152956</v>
      </c>
      <c r="J102" s="57">
        <f t="shared" si="80"/>
        <v>13.495733280795811</v>
      </c>
      <c r="K102" s="118">
        <f t="shared" si="81"/>
        <v>2.5197668542942617</v>
      </c>
      <c r="L102" s="118">
        <f t="shared" si="82"/>
        <v>5.1419840528729761</v>
      </c>
      <c r="M102" s="27">
        <f t="shared" si="83"/>
        <v>1.0175000000000001</v>
      </c>
      <c r="N102" s="28">
        <f t="shared" si="84"/>
        <v>0.51500000000000001</v>
      </c>
      <c r="O102" s="115" t="s">
        <v>199</v>
      </c>
      <c r="Q102" s="28">
        <f t="shared" si="85"/>
        <v>6.4812500000000002</v>
      </c>
      <c r="R102" s="28">
        <f t="shared" si="86"/>
        <v>0.64812500000000006</v>
      </c>
    </row>
    <row r="103" spans="1:18">
      <c r="A103" s="28">
        <v>4.5</v>
      </c>
      <c r="B103" s="89" t="s">
        <v>208</v>
      </c>
      <c r="C103" s="117">
        <v>0.2</v>
      </c>
      <c r="D103" s="117">
        <v>1.72</v>
      </c>
      <c r="E103" s="117">
        <v>2.5</v>
      </c>
      <c r="F103" s="117">
        <v>5</v>
      </c>
      <c r="G103" s="117">
        <v>0.126</v>
      </c>
      <c r="H103" s="117">
        <v>0.24</v>
      </c>
      <c r="I103" s="57">
        <f t="shared" si="79"/>
        <v>7.1814236942152956</v>
      </c>
      <c r="J103" s="57">
        <f t="shared" si="80"/>
        <v>13.495733280795811</v>
      </c>
      <c r="K103" s="118">
        <f t="shared" si="81"/>
        <v>2.5197668542942617</v>
      </c>
      <c r="L103" s="118">
        <f t="shared" si="82"/>
        <v>5.1419840528729761</v>
      </c>
      <c r="M103" s="27">
        <f t="shared" si="83"/>
        <v>1.0175000000000001</v>
      </c>
      <c r="N103" s="28">
        <f t="shared" si="84"/>
        <v>0.51500000000000001</v>
      </c>
      <c r="O103" s="115" t="s">
        <v>200</v>
      </c>
      <c r="Q103" s="28">
        <f t="shared" si="85"/>
        <v>6.4812500000000002</v>
      </c>
      <c r="R103" s="28">
        <f t="shared" si="86"/>
        <v>0.64812500000000006</v>
      </c>
    </row>
    <row r="104" spans="1:18">
      <c r="A104" s="28">
        <v>5</v>
      </c>
      <c r="B104" s="89" t="s">
        <v>208</v>
      </c>
      <c r="C104" s="117">
        <v>0.2</v>
      </c>
      <c r="D104" s="117">
        <v>1.72</v>
      </c>
      <c r="E104" s="117">
        <v>2.5</v>
      </c>
      <c r="F104" s="117">
        <v>5</v>
      </c>
      <c r="G104" s="117">
        <v>0.126</v>
      </c>
      <c r="H104" s="117">
        <v>0.24</v>
      </c>
      <c r="I104" s="57">
        <f t="shared" si="79"/>
        <v>7.1814236942152956</v>
      </c>
      <c r="J104" s="57">
        <f t="shared" si="80"/>
        <v>13.495733280795811</v>
      </c>
      <c r="K104" s="118">
        <f t="shared" si="81"/>
        <v>2.5197668542942617</v>
      </c>
      <c r="L104" s="118">
        <f t="shared" si="82"/>
        <v>5.1419840528729761</v>
      </c>
      <c r="M104" s="27">
        <f t="shared" si="83"/>
        <v>1.0175000000000001</v>
      </c>
      <c r="N104" s="28">
        <f t="shared" si="84"/>
        <v>0.51500000000000001</v>
      </c>
      <c r="O104" s="115" t="s">
        <v>201</v>
      </c>
      <c r="Q104" s="28">
        <f t="shared" si="85"/>
        <v>6.4812500000000002</v>
      </c>
      <c r="R104" s="28">
        <f t="shared" si="86"/>
        <v>0.64812500000000006</v>
      </c>
    </row>
    <row r="105" spans="1:18">
      <c r="A105" s="28">
        <v>5.5</v>
      </c>
      <c r="B105" s="89" t="s">
        <v>208</v>
      </c>
      <c r="C105" s="117">
        <v>0.2</v>
      </c>
      <c r="D105" s="117">
        <v>1.72</v>
      </c>
      <c r="E105" s="117">
        <v>2.5</v>
      </c>
      <c r="F105" s="117">
        <v>5</v>
      </c>
      <c r="G105" s="117">
        <v>0.126</v>
      </c>
      <c r="H105" s="117">
        <v>0.24</v>
      </c>
      <c r="I105" s="57">
        <f t="shared" si="79"/>
        <v>7.1814236942152956</v>
      </c>
      <c r="J105" s="57">
        <f t="shared" si="80"/>
        <v>13.495733280795811</v>
      </c>
      <c r="K105" s="118">
        <f t="shared" si="81"/>
        <v>2.5197668542942617</v>
      </c>
      <c r="L105" s="118">
        <f t="shared" si="82"/>
        <v>5.1419840528729761</v>
      </c>
      <c r="M105" s="27">
        <f t="shared" si="83"/>
        <v>1.0175000000000001</v>
      </c>
      <c r="N105" s="28">
        <f t="shared" si="84"/>
        <v>0.51500000000000001</v>
      </c>
      <c r="Q105" s="28">
        <f t="shared" si="85"/>
        <v>6.4812500000000002</v>
      </c>
      <c r="R105" s="28">
        <f t="shared" si="86"/>
        <v>0.64812500000000006</v>
      </c>
    </row>
    <row r="106" spans="1:18">
      <c r="A106" s="28">
        <v>6</v>
      </c>
      <c r="B106" s="89" t="s">
        <v>208</v>
      </c>
      <c r="C106" s="117">
        <v>0.2</v>
      </c>
      <c r="D106" s="117">
        <v>1.72</v>
      </c>
      <c r="E106" s="117">
        <v>2.5</v>
      </c>
      <c r="F106" s="117">
        <v>5</v>
      </c>
      <c r="G106" s="117">
        <v>0.126</v>
      </c>
      <c r="H106" s="117">
        <v>0.24</v>
      </c>
      <c r="I106" s="57">
        <f t="shared" si="79"/>
        <v>7.1814236942152956</v>
      </c>
      <c r="J106" s="57">
        <f t="shared" si="80"/>
        <v>13.495733280795811</v>
      </c>
      <c r="K106" s="118">
        <f t="shared" si="81"/>
        <v>2.5197668542942617</v>
      </c>
      <c r="L106" s="118">
        <f t="shared" si="82"/>
        <v>5.1419840528729761</v>
      </c>
      <c r="M106" s="27">
        <f t="shared" si="83"/>
        <v>1.0175000000000001</v>
      </c>
      <c r="N106" s="28">
        <f t="shared" si="84"/>
        <v>0.51500000000000001</v>
      </c>
      <c r="Q106" s="28">
        <f t="shared" si="85"/>
        <v>6.4812500000000002</v>
      </c>
      <c r="R106" s="28">
        <f t="shared" si="86"/>
        <v>0.64812500000000006</v>
      </c>
    </row>
    <row r="107" spans="1:18">
      <c r="A107" s="28">
        <v>6.5</v>
      </c>
      <c r="B107" s="89" t="s">
        <v>208</v>
      </c>
      <c r="C107" s="117">
        <v>0.2</v>
      </c>
      <c r="D107" s="117">
        <v>1.72</v>
      </c>
      <c r="E107" s="117">
        <v>2.5</v>
      </c>
      <c r="F107" s="117">
        <v>5</v>
      </c>
      <c r="G107" s="117">
        <v>0.126</v>
      </c>
      <c r="H107" s="117">
        <v>0.24</v>
      </c>
      <c r="I107" s="57">
        <f t="shared" si="79"/>
        <v>7.1814236942152956</v>
      </c>
      <c r="J107" s="57">
        <f t="shared" si="80"/>
        <v>13.495733280795811</v>
      </c>
      <c r="K107" s="118">
        <f t="shared" si="81"/>
        <v>2.5197668542942617</v>
      </c>
      <c r="L107" s="118">
        <f t="shared" si="82"/>
        <v>5.1419840528729761</v>
      </c>
      <c r="M107" s="27">
        <f t="shared" si="83"/>
        <v>1.0175000000000001</v>
      </c>
      <c r="N107" s="28">
        <f t="shared" si="84"/>
        <v>0.51500000000000001</v>
      </c>
      <c r="Q107" s="28">
        <f t="shared" si="85"/>
        <v>6.4812500000000002</v>
      </c>
      <c r="R107" s="28">
        <f t="shared" si="86"/>
        <v>0.64812500000000006</v>
      </c>
    </row>
    <row r="108" spans="1:18">
      <c r="A108" s="28">
        <v>7</v>
      </c>
      <c r="B108" s="89" t="s">
        <v>208</v>
      </c>
      <c r="C108" s="117">
        <v>0.2</v>
      </c>
      <c r="D108" s="117">
        <v>1.72</v>
      </c>
      <c r="E108" s="117">
        <v>2.5</v>
      </c>
      <c r="F108" s="117">
        <v>5</v>
      </c>
      <c r="G108" s="117">
        <v>0.126</v>
      </c>
      <c r="H108" s="117">
        <v>0.24</v>
      </c>
      <c r="I108" s="57">
        <f t="shared" si="79"/>
        <v>7.1814236942152956</v>
      </c>
      <c r="J108" s="57">
        <f t="shared" si="80"/>
        <v>13.495733280795811</v>
      </c>
      <c r="K108" s="118">
        <f t="shared" si="81"/>
        <v>2.5197668542942617</v>
      </c>
      <c r="L108" s="118">
        <f t="shared" si="82"/>
        <v>5.1419840528729761</v>
      </c>
      <c r="M108" s="27">
        <f t="shared" si="83"/>
        <v>1.0175000000000001</v>
      </c>
      <c r="N108" s="28">
        <f t="shared" si="84"/>
        <v>0.51500000000000001</v>
      </c>
      <c r="Q108" s="28">
        <f t="shared" si="85"/>
        <v>6.4812500000000002</v>
      </c>
      <c r="R108" s="28">
        <f t="shared" si="86"/>
        <v>0.64812500000000006</v>
      </c>
    </row>
    <row r="109" spans="1:18">
      <c r="A109" s="28">
        <v>7.5</v>
      </c>
      <c r="B109" s="89" t="s">
        <v>208</v>
      </c>
      <c r="C109" s="117">
        <v>0.2</v>
      </c>
      <c r="D109" s="117">
        <v>1.72</v>
      </c>
      <c r="E109" s="117">
        <v>2.5</v>
      </c>
      <c r="F109" s="117">
        <v>5</v>
      </c>
      <c r="G109" s="117">
        <v>0.126</v>
      </c>
      <c r="H109" s="117">
        <v>0.24</v>
      </c>
      <c r="I109" s="57">
        <f t="shared" si="79"/>
        <v>7.1814236942152956</v>
      </c>
      <c r="J109" s="57">
        <f t="shared" si="80"/>
        <v>13.495733280795811</v>
      </c>
      <c r="K109" s="118">
        <f t="shared" si="81"/>
        <v>2.5197668542942617</v>
      </c>
      <c r="L109" s="118">
        <f t="shared" si="82"/>
        <v>5.1419840528729761</v>
      </c>
      <c r="M109" s="27">
        <f t="shared" si="83"/>
        <v>1.0175000000000001</v>
      </c>
      <c r="N109" s="28">
        <f t="shared" si="84"/>
        <v>0.51500000000000001</v>
      </c>
      <c r="Q109" s="28">
        <f t="shared" si="85"/>
        <v>6.4812500000000002</v>
      </c>
      <c r="R109" s="28">
        <f t="shared" si="86"/>
        <v>0.64812500000000006</v>
      </c>
    </row>
    <row r="110" spans="1:18">
      <c r="A110" s="28">
        <v>8</v>
      </c>
      <c r="B110" s="89" t="s">
        <v>208</v>
      </c>
      <c r="C110" s="117">
        <v>0.2</v>
      </c>
      <c r="D110" s="117">
        <v>1.72</v>
      </c>
      <c r="E110" s="117">
        <v>2.5</v>
      </c>
      <c r="F110" s="117">
        <v>5</v>
      </c>
      <c r="G110" s="117">
        <v>0.126</v>
      </c>
      <c r="H110" s="117">
        <v>0.24</v>
      </c>
      <c r="I110" s="57">
        <f t="shared" si="79"/>
        <v>7.1814236942152956</v>
      </c>
      <c r="J110" s="57">
        <f t="shared" si="80"/>
        <v>13.495733280795811</v>
      </c>
      <c r="K110" s="118">
        <f t="shared" si="81"/>
        <v>2.5197668542942617</v>
      </c>
      <c r="L110" s="118">
        <f t="shared" si="82"/>
        <v>5.1419840528729761</v>
      </c>
      <c r="M110" s="27">
        <f t="shared" si="83"/>
        <v>1.0175000000000001</v>
      </c>
      <c r="N110" s="28">
        <f t="shared" si="84"/>
        <v>0.51500000000000001</v>
      </c>
      <c r="Q110" s="28">
        <f t="shared" si="85"/>
        <v>6.4812500000000002</v>
      </c>
      <c r="R110" s="28">
        <f t="shared" si="86"/>
        <v>0.64812500000000006</v>
      </c>
    </row>
    <row r="111" spans="1:18">
      <c r="A111" s="28">
        <v>8.5</v>
      </c>
      <c r="B111" s="89" t="s">
        <v>208</v>
      </c>
      <c r="C111" s="117">
        <v>0.2</v>
      </c>
      <c r="D111" s="117">
        <v>1.72</v>
      </c>
      <c r="E111" s="117">
        <v>2.5</v>
      </c>
      <c r="F111" s="117">
        <v>5</v>
      </c>
      <c r="G111" s="117">
        <v>0.126</v>
      </c>
      <c r="H111" s="117">
        <v>0.24</v>
      </c>
      <c r="I111" s="57">
        <f t="shared" si="79"/>
        <v>7.1814236942152956</v>
      </c>
      <c r="J111" s="57">
        <f t="shared" si="80"/>
        <v>13.495733280795811</v>
      </c>
      <c r="K111" s="118">
        <f t="shared" si="81"/>
        <v>2.5197668542942617</v>
      </c>
      <c r="L111" s="118">
        <f t="shared" si="82"/>
        <v>5.1419840528729761</v>
      </c>
      <c r="M111" s="27">
        <f t="shared" si="83"/>
        <v>1.0175000000000001</v>
      </c>
      <c r="N111" s="28">
        <f t="shared" si="84"/>
        <v>0.51500000000000001</v>
      </c>
      <c r="Q111" s="28">
        <f t="shared" si="85"/>
        <v>6.4812500000000002</v>
      </c>
      <c r="R111" s="28">
        <f t="shared" si="86"/>
        <v>0.64812500000000006</v>
      </c>
    </row>
    <row r="112" spans="1:18">
      <c r="A112" s="28">
        <v>9</v>
      </c>
      <c r="B112" s="89" t="s">
        <v>208</v>
      </c>
      <c r="C112" s="117">
        <v>0.2</v>
      </c>
      <c r="D112" s="117">
        <v>1.72</v>
      </c>
      <c r="E112" s="117">
        <v>2.5</v>
      </c>
      <c r="F112" s="117">
        <v>5</v>
      </c>
      <c r="G112" s="117">
        <v>0.126</v>
      </c>
      <c r="H112" s="117">
        <v>0.24</v>
      </c>
      <c r="I112" s="57">
        <f>DEGREES(ATAN(G112))</f>
        <v>7.1814236942152956</v>
      </c>
      <c r="J112" s="57">
        <f>DEGREES(ATAN(H112))</f>
        <v>13.495733280795811</v>
      </c>
      <c r="K112" s="118">
        <f>E112/COS(RADIANS(I112))</f>
        <v>2.5197668542942617</v>
      </c>
      <c r="L112" s="118">
        <f>F112/COS(RADIANS(J112))</f>
        <v>5.1419840528729761</v>
      </c>
      <c r="M112" s="27">
        <f t="shared" si="83"/>
        <v>1.0175000000000001</v>
      </c>
      <c r="N112" s="28">
        <f t="shared" si="84"/>
        <v>0.51500000000000001</v>
      </c>
      <c r="Q112" s="28">
        <f t="shared" si="85"/>
        <v>6.4812500000000002</v>
      </c>
      <c r="R112" s="28">
        <f t="shared" si="86"/>
        <v>0.64812500000000006</v>
      </c>
    </row>
    <row r="113" spans="2:2">
      <c r="B113" s="33"/>
    </row>
    <row r="114" spans="2:2">
      <c r="B114" s="33"/>
    </row>
    <row r="115" spans="2:2">
      <c r="B115" s="33"/>
    </row>
    <row r="116" spans="2:2">
      <c r="B116" s="33"/>
    </row>
    <row r="117" spans="2:2">
      <c r="B117" s="33"/>
    </row>
  </sheetData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AutoCAD.Drawing.19" shapeId="112641" r:id="rId4">
          <objectPr defaultSize="0" autoPict="0" r:id="rId5">
            <anchor moveWithCells="1">
              <from>
                <xdr:col>16</xdr:col>
                <xdr:colOff>190500</xdr:colOff>
                <xdr:row>26</xdr:row>
                <xdr:rowOff>83820</xdr:rowOff>
              </from>
              <to>
                <xdr:col>30</xdr:col>
                <xdr:colOff>76200</xdr:colOff>
                <xdr:row>56</xdr:row>
                <xdr:rowOff>160020</xdr:rowOff>
              </to>
            </anchor>
          </objectPr>
        </oleObject>
      </mc:Choice>
      <mc:Fallback>
        <oleObject progId="AutoCAD.Drawing.19" shapeId="112641" r:id="rId4"/>
      </mc:Fallback>
    </mc:AlternateContent>
  </oleObjec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8"/>
  <dimension ref="A3:S38"/>
  <sheetViews>
    <sheetView workbookViewId="0">
      <selection activeCell="P36" sqref="P36"/>
    </sheetView>
  </sheetViews>
  <sheetFormatPr baseColWidth="10" defaultColWidth="13.375" defaultRowHeight="13.8"/>
  <cols>
    <col min="1" max="1" width="3.125" style="28" bestFit="1" customWidth="1"/>
    <col min="2" max="2" width="2" style="28" customWidth="1"/>
    <col min="3" max="3" width="13" style="28" customWidth="1"/>
    <col min="4" max="4" width="12.5" style="28" customWidth="1"/>
    <col min="5" max="5" width="13.375" style="28"/>
    <col min="6" max="6" width="9" style="28" customWidth="1"/>
    <col min="7" max="7" width="8.125" style="28" customWidth="1"/>
    <col min="8" max="8" width="8.875" style="28" customWidth="1"/>
    <col min="9" max="9" width="13.375" style="28"/>
    <col min="10" max="12" width="13.375" style="28" customWidth="1"/>
    <col min="13" max="13" width="9.875" style="28" customWidth="1"/>
    <col min="14" max="14" width="10.875" style="28" customWidth="1"/>
    <col min="15" max="15" width="13.375" style="28" customWidth="1"/>
    <col min="16" max="16" width="17.5" style="28" customWidth="1"/>
    <col min="17" max="17" width="6.5" style="28" customWidth="1"/>
    <col min="18" max="18" width="9.375" style="28" bestFit="1" customWidth="1"/>
    <col min="19" max="19" width="7.625" style="28" customWidth="1"/>
    <col min="20" max="16384" width="13.375" style="28"/>
  </cols>
  <sheetData>
    <row r="3" spans="1:19">
      <c r="D3" s="27" t="s">
        <v>145</v>
      </c>
    </row>
    <row r="5" spans="1:19">
      <c r="H5" s="28">
        <v>4</v>
      </c>
      <c r="I5" s="28">
        <f>+H5+3</f>
        <v>7</v>
      </c>
      <c r="J5" s="28">
        <f t="shared" ref="J5:O5" si="0">+I5+3</f>
        <v>10</v>
      </c>
      <c r="K5" s="28">
        <f t="shared" si="0"/>
        <v>13</v>
      </c>
      <c r="L5" s="28">
        <f t="shared" si="0"/>
        <v>16</v>
      </c>
      <c r="M5" s="28">
        <f>+L5+6</f>
        <v>22</v>
      </c>
      <c r="N5" s="28">
        <f t="shared" si="0"/>
        <v>25</v>
      </c>
      <c r="O5" s="28">
        <f t="shared" si="0"/>
        <v>28</v>
      </c>
      <c r="P5" s="28">
        <v>31</v>
      </c>
    </row>
    <row r="6" spans="1:19" ht="69">
      <c r="A6" s="58"/>
      <c r="B6" s="58"/>
      <c r="C6" s="59" t="s">
        <v>146</v>
      </c>
      <c r="D6" s="59" t="s">
        <v>147</v>
      </c>
      <c r="E6" s="59" t="s">
        <v>148</v>
      </c>
      <c r="F6" s="59" t="s">
        <v>144</v>
      </c>
      <c r="G6" s="59" t="s">
        <v>149</v>
      </c>
      <c r="H6" s="59" t="s">
        <v>140</v>
      </c>
      <c r="I6" s="59" t="s">
        <v>142</v>
      </c>
      <c r="J6" s="59" t="s">
        <v>150</v>
      </c>
      <c r="K6" s="59" t="s">
        <v>151</v>
      </c>
      <c r="L6" s="59" t="s">
        <v>152</v>
      </c>
      <c r="M6" s="59" t="s">
        <v>143</v>
      </c>
      <c r="N6" s="59" t="s">
        <v>153</v>
      </c>
      <c r="O6" s="59" t="s">
        <v>179</v>
      </c>
      <c r="P6" s="59" t="s">
        <v>180</v>
      </c>
      <c r="R6" s="28" t="s">
        <v>154</v>
      </c>
      <c r="S6" s="28" t="s">
        <v>155</v>
      </c>
    </row>
    <row r="7" spans="1:19">
      <c r="A7" s="58"/>
      <c r="B7" s="58"/>
      <c r="C7" s="60" t="s">
        <v>156</v>
      </c>
      <c r="D7" s="60" t="s">
        <v>156</v>
      </c>
      <c r="E7" s="60" t="s">
        <v>156</v>
      </c>
      <c r="F7" s="60" t="s">
        <v>0</v>
      </c>
      <c r="G7" s="60" t="s">
        <v>0</v>
      </c>
      <c r="H7" s="60" t="s">
        <v>157</v>
      </c>
      <c r="I7" s="60" t="s">
        <v>157</v>
      </c>
      <c r="J7" s="60" t="s">
        <v>139</v>
      </c>
      <c r="K7" s="60" t="s">
        <v>157</v>
      </c>
      <c r="L7" s="60" t="s">
        <v>139</v>
      </c>
      <c r="M7" s="60" t="s">
        <v>31</v>
      </c>
      <c r="N7" s="60" t="s">
        <v>139</v>
      </c>
      <c r="O7" s="60" t="s">
        <v>0</v>
      </c>
      <c r="P7" s="60" t="s">
        <v>0</v>
      </c>
    </row>
    <row r="9" spans="1:19">
      <c r="C9" s="61">
        <f>+(D9+E9)/2</f>
        <v>393.14499999999998</v>
      </c>
      <c r="D9" s="101">
        <v>391.29</v>
      </c>
      <c r="E9" s="101">
        <v>395</v>
      </c>
      <c r="F9" s="62">
        <f>+E9-D9</f>
        <v>3.7099999999999795</v>
      </c>
      <c r="G9" s="102">
        <v>2.5</v>
      </c>
      <c r="H9" s="63">
        <f>+R9*F9</f>
        <v>42.998899999999765</v>
      </c>
      <c r="I9" s="63">
        <f>+S9*F9</f>
        <v>22.18579999999988</v>
      </c>
      <c r="J9" s="90" t="e">
        <f>HLOOKUP($G9,#REF!,$J$5,1)*$F9</f>
        <v>#REF!</v>
      </c>
      <c r="K9" s="63" t="e">
        <f>HLOOKUP($G9,#REF!,$K$5,0)*$F9</f>
        <v>#REF!</v>
      </c>
      <c r="L9" s="63" t="e">
        <f>HLOOKUP($G9,#REF!,$L$5,0)*$F9</f>
        <v>#REF!</v>
      </c>
      <c r="M9" s="63" t="e">
        <f>HLOOKUP($G9,#REF!,$M$5,0)*$F9</f>
        <v>#REF!</v>
      </c>
      <c r="N9" s="63" t="e">
        <f>HLOOKUP($G9,#REF!,$N$5,0)*$F9</f>
        <v>#REF!</v>
      </c>
      <c r="O9" s="63" t="e">
        <f>HLOOKUP($G9,#REF!,$O$5,0)*$F9</f>
        <v>#REF!</v>
      </c>
      <c r="P9" s="63" t="e">
        <f>HLOOKUP($G9,#REF!,$P$5,0)*$F9</f>
        <v>#REF!</v>
      </c>
      <c r="R9" s="64">
        <v>11.59</v>
      </c>
      <c r="S9" s="64">
        <v>5.98</v>
      </c>
    </row>
    <row r="10" spans="1:19">
      <c r="C10" s="61">
        <f t="shared" ref="C10:C25" si="1">+(D10+E10)/2</f>
        <v>397.5</v>
      </c>
      <c r="D10" s="101">
        <f>+E9</f>
        <v>395</v>
      </c>
      <c r="E10" s="101">
        <v>400</v>
      </c>
      <c r="F10" s="62">
        <f t="shared" ref="F10:F25" si="2">+E10-D10</f>
        <v>5</v>
      </c>
      <c r="G10" s="102">
        <v>2.5</v>
      </c>
      <c r="H10" s="63">
        <f t="shared" ref="H10:H25" si="3">+R10*F10</f>
        <v>58.9</v>
      </c>
      <c r="I10" s="63">
        <f t="shared" ref="I10:I25" si="4">+S10*F10</f>
        <v>30.049999999999997</v>
      </c>
      <c r="J10" s="90" t="e">
        <f>HLOOKUP($G10,#REF!,$J$5,1)*$F10</f>
        <v>#REF!</v>
      </c>
      <c r="K10" s="63" t="e">
        <f>HLOOKUP($G10,#REF!,$K$5,0)*$F10</f>
        <v>#REF!</v>
      </c>
      <c r="L10" s="63" t="e">
        <f>HLOOKUP($G10,#REF!,$L$5,0)*$F10</f>
        <v>#REF!</v>
      </c>
      <c r="M10" s="63" t="e">
        <f>HLOOKUP($G10,#REF!,$M$5,0)*$F10</f>
        <v>#REF!</v>
      </c>
      <c r="N10" s="63" t="e">
        <f>HLOOKUP($G10,#REF!,$N$5,0)*$F10</f>
        <v>#REF!</v>
      </c>
      <c r="O10" s="63" t="e">
        <f>HLOOKUP($G10,#REF!,$O$5,0)*$F10</f>
        <v>#REF!</v>
      </c>
      <c r="P10" s="63" t="e">
        <f>HLOOKUP($G10,#REF!,$P$5,0)*$F10</f>
        <v>#REF!</v>
      </c>
      <c r="R10" s="64">
        <v>11.78</v>
      </c>
      <c r="S10" s="64">
        <v>6.01</v>
      </c>
    </row>
    <row r="11" spans="1:19">
      <c r="C11" s="61">
        <f t="shared" si="1"/>
        <v>402.5</v>
      </c>
      <c r="D11" s="101">
        <f>+E10</f>
        <v>400</v>
      </c>
      <c r="E11" s="101">
        <v>405</v>
      </c>
      <c r="F11" s="62">
        <f t="shared" si="2"/>
        <v>5</v>
      </c>
      <c r="G11" s="102">
        <v>2.5</v>
      </c>
      <c r="H11" s="63">
        <f t="shared" si="3"/>
        <v>57.300000000000004</v>
      </c>
      <c r="I11" s="63">
        <f t="shared" si="4"/>
        <v>30.049999999999997</v>
      </c>
      <c r="J11" s="90" t="e">
        <f>HLOOKUP($G11,#REF!,$J$5,1)*$F11</f>
        <v>#REF!</v>
      </c>
      <c r="K11" s="63" t="e">
        <f>HLOOKUP($G11,#REF!,$K$5,0)*$F11</f>
        <v>#REF!</v>
      </c>
      <c r="L11" s="63" t="e">
        <f>HLOOKUP($G11,#REF!,$L$5,0)*$F11</f>
        <v>#REF!</v>
      </c>
      <c r="M11" s="63" t="e">
        <f>HLOOKUP($G11,#REF!,$M$5,0)*$F11</f>
        <v>#REF!</v>
      </c>
      <c r="N11" s="63" t="e">
        <f>HLOOKUP($G11,#REF!,$N$5,0)*$F11</f>
        <v>#REF!</v>
      </c>
      <c r="O11" s="63" t="e">
        <f>HLOOKUP($G11,#REF!,$O$5,0)*$F11</f>
        <v>#REF!</v>
      </c>
      <c r="P11" s="63" t="e">
        <f>HLOOKUP($G11,#REF!,$P$5,0)*$F11</f>
        <v>#REF!</v>
      </c>
      <c r="R11" s="64">
        <v>11.46</v>
      </c>
      <c r="S11" s="64">
        <v>6.01</v>
      </c>
    </row>
    <row r="12" spans="1:19">
      <c r="C12" s="61">
        <f t="shared" si="1"/>
        <v>407.5</v>
      </c>
      <c r="D12" s="101">
        <f t="shared" ref="D12:D25" si="5">+E11</f>
        <v>405</v>
      </c>
      <c r="E12" s="101">
        <v>410</v>
      </c>
      <c r="F12" s="62">
        <f t="shared" si="2"/>
        <v>5</v>
      </c>
      <c r="G12" s="102">
        <v>2.5</v>
      </c>
      <c r="H12" s="63">
        <f t="shared" si="3"/>
        <v>56</v>
      </c>
      <c r="I12" s="63">
        <f t="shared" si="4"/>
        <v>26.549999999999997</v>
      </c>
      <c r="J12" s="90" t="e">
        <f>HLOOKUP($G12,#REF!,$J$5,1)*$F12</f>
        <v>#REF!</v>
      </c>
      <c r="K12" s="63" t="e">
        <f>HLOOKUP($G12,#REF!,$K$5,0)*$F12</f>
        <v>#REF!</v>
      </c>
      <c r="L12" s="63" t="e">
        <f>HLOOKUP($G12,#REF!,$L$5,0)*$F12</f>
        <v>#REF!</v>
      </c>
      <c r="M12" s="63" t="e">
        <f>HLOOKUP($G12,#REF!,$M$5,0)*$F12</f>
        <v>#REF!</v>
      </c>
      <c r="N12" s="63" t="e">
        <f>HLOOKUP($G12,#REF!,$N$5,0)*$F12</f>
        <v>#REF!</v>
      </c>
      <c r="O12" s="63" t="e">
        <f>HLOOKUP($G12,#REF!,$O$5,0)*$F12</f>
        <v>#REF!</v>
      </c>
      <c r="P12" s="63" t="e">
        <f>HLOOKUP($G12,#REF!,$P$5,0)*$F12</f>
        <v>#REF!</v>
      </c>
      <c r="R12" s="64">
        <v>11.2</v>
      </c>
      <c r="S12" s="64">
        <v>5.31</v>
      </c>
    </row>
    <row r="13" spans="1:19">
      <c r="C13" s="61">
        <f t="shared" si="1"/>
        <v>412.5</v>
      </c>
      <c r="D13" s="101">
        <f t="shared" si="5"/>
        <v>410</v>
      </c>
      <c r="E13" s="101">
        <v>415</v>
      </c>
      <c r="F13" s="62">
        <f t="shared" si="2"/>
        <v>5</v>
      </c>
      <c r="G13" s="102">
        <v>2.5</v>
      </c>
      <c r="H13" s="63">
        <f t="shared" si="3"/>
        <v>64.800000000000011</v>
      </c>
      <c r="I13" s="63">
        <f t="shared" si="4"/>
        <v>29.849999999999998</v>
      </c>
      <c r="J13" s="90" t="e">
        <f>HLOOKUP($G13,#REF!,$J$5,1)*$F13</f>
        <v>#REF!</v>
      </c>
      <c r="K13" s="63" t="e">
        <f>HLOOKUP($G13,#REF!,$K$5,0)*$F13</f>
        <v>#REF!</v>
      </c>
      <c r="L13" s="63" t="e">
        <f>HLOOKUP($G13,#REF!,$L$5,0)*$F13</f>
        <v>#REF!</v>
      </c>
      <c r="M13" s="63" t="e">
        <f>HLOOKUP($G13,#REF!,$M$5,0)*$F13</f>
        <v>#REF!</v>
      </c>
      <c r="N13" s="63" t="e">
        <f>HLOOKUP($G13,#REF!,$N$5,0)*$F13</f>
        <v>#REF!</v>
      </c>
      <c r="O13" s="63" t="e">
        <f>HLOOKUP($G13,#REF!,$O$5,0)*$F13</f>
        <v>#REF!</v>
      </c>
      <c r="P13" s="63" t="e">
        <f>HLOOKUP($G13,#REF!,$P$5,0)*$F13</f>
        <v>#REF!</v>
      </c>
      <c r="R13" s="64">
        <v>12.96</v>
      </c>
      <c r="S13" s="64">
        <v>5.97</v>
      </c>
    </row>
    <row r="14" spans="1:19">
      <c r="C14" s="61">
        <f t="shared" si="1"/>
        <v>417.5</v>
      </c>
      <c r="D14" s="101">
        <f t="shared" si="5"/>
        <v>415</v>
      </c>
      <c r="E14" s="101">
        <v>420</v>
      </c>
      <c r="F14" s="62">
        <f t="shared" si="2"/>
        <v>5</v>
      </c>
      <c r="G14" s="102">
        <v>2.5</v>
      </c>
      <c r="H14" s="63">
        <f t="shared" si="3"/>
        <v>58.9</v>
      </c>
      <c r="I14" s="63">
        <f t="shared" si="4"/>
        <v>27.05</v>
      </c>
      <c r="J14" s="90" t="e">
        <f>HLOOKUP($G14,#REF!,$J$5,1)*$F14</f>
        <v>#REF!</v>
      </c>
      <c r="K14" s="63" t="e">
        <f>HLOOKUP($G14,#REF!,$K$5,0)*$F14</f>
        <v>#REF!</v>
      </c>
      <c r="L14" s="63" t="e">
        <f>HLOOKUP($G14,#REF!,$L$5,0)*$F14</f>
        <v>#REF!</v>
      </c>
      <c r="M14" s="63" t="e">
        <f>HLOOKUP($G14,#REF!,$M$5,0)*$F14</f>
        <v>#REF!</v>
      </c>
      <c r="N14" s="63" t="e">
        <f>HLOOKUP($G14,#REF!,$N$5,0)*$F14</f>
        <v>#REF!</v>
      </c>
      <c r="O14" s="63" t="e">
        <f>HLOOKUP($G14,#REF!,$O$5,0)*$F14</f>
        <v>#REF!</v>
      </c>
      <c r="P14" s="63" t="e">
        <f>HLOOKUP($G14,#REF!,$P$5,0)*$F14</f>
        <v>#REF!</v>
      </c>
      <c r="R14" s="64">
        <v>11.78</v>
      </c>
      <c r="S14" s="64">
        <v>5.41</v>
      </c>
    </row>
    <row r="15" spans="1:19">
      <c r="C15" s="61">
        <f t="shared" si="1"/>
        <v>422.5</v>
      </c>
      <c r="D15" s="101">
        <f t="shared" si="5"/>
        <v>420</v>
      </c>
      <c r="E15" s="101">
        <v>425</v>
      </c>
      <c r="F15" s="62">
        <f t="shared" si="2"/>
        <v>5</v>
      </c>
      <c r="G15" s="102">
        <v>2.5</v>
      </c>
      <c r="H15" s="63">
        <f t="shared" si="3"/>
        <v>65.5</v>
      </c>
      <c r="I15" s="63">
        <f t="shared" si="4"/>
        <v>30.049999999999997</v>
      </c>
      <c r="J15" s="90" t="e">
        <f>HLOOKUP($G15,#REF!,$J$5,1)*$F15</f>
        <v>#REF!</v>
      </c>
      <c r="K15" s="63" t="e">
        <f>HLOOKUP($G15,#REF!,$K$5,0)*$F15</f>
        <v>#REF!</v>
      </c>
      <c r="L15" s="63" t="e">
        <f>HLOOKUP($G15,#REF!,$L$5,0)*$F15</f>
        <v>#REF!</v>
      </c>
      <c r="M15" s="63" t="e">
        <f>HLOOKUP($G15,#REF!,$M$5,0)*$F15</f>
        <v>#REF!</v>
      </c>
      <c r="N15" s="63" t="e">
        <f>HLOOKUP($G15,#REF!,$N$5,0)*$F15</f>
        <v>#REF!</v>
      </c>
      <c r="O15" s="63" t="e">
        <f>HLOOKUP($G15,#REF!,$O$5,0)*$F15</f>
        <v>#REF!</v>
      </c>
      <c r="P15" s="63" t="e">
        <f>HLOOKUP($G15,#REF!,$P$5,0)*$F15</f>
        <v>#REF!</v>
      </c>
      <c r="R15" s="64">
        <v>13.1</v>
      </c>
      <c r="S15" s="64">
        <v>6.01</v>
      </c>
    </row>
    <row r="16" spans="1:19">
      <c r="C16" s="61">
        <f t="shared" si="1"/>
        <v>427.5</v>
      </c>
      <c r="D16" s="101">
        <f t="shared" si="5"/>
        <v>425</v>
      </c>
      <c r="E16" s="101">
        <v>430</v>
      </c>
      <c r="F16" s="62">
        <f t="shared" si="2"/>
        <v>5</v>
      </c>
      <c r="G16" s="102">
        <v>2.5</v>
      </c>
      <c r="H16" s="63">
        <f t="shared" si="3"/>
        <v>58.949999999999996</v>
      </c>
      <c r="I16" s="63">
        <f t="shared" si="4"/>
        <v>30.049999999999997</v>
      </c>
      <c r="J16" s="90" t="e">
        <f>HLOOKUP($G16,#REF!,$J$5,1)*$F16</f>
        <v>#REF!</v>
      </c>
      <c r="K16" s="63" t="e">
        <f>HLOOKUP($G16,#REF!,$K$5,0)*$F16</f>
        <v>#REF!</v>
      </c>
      <c r="L16" s="63" t="e">
        <f>HLOOKUP($G16,#REF!,$L$5,0)*$F16</f>
        <v>#REF!</v>
      </c>
      <c r="M16" s="63" t="e">
        <f>HLOOKUP($G16,#REF!,$M$5,0)*$F16</f>
        <v>#REF!</v>
      </c>
      <c r="N16" s="63" t="e">
        <f>HLOOKUP($G16,#REF!,$N$5,0)*$F16</f>
        <v>#REF!</v>
      </c>
      <c r="O16" s="63" t="e">
        <f>HLOOKUP($G16,#REF!,$O$5,0)*$F16</f>
        <v>#REF!</v>
      </c>
      <c r="P16" s="63" t="e">
        <f>HLOOKUP($G16,#REF!,$P$5,0)*$F16</f>
        <v>#REF!</v>
      </c>
      <c r="R16" s="64">
        <v>11.79</v>
      </c>
      <c r="S16" s="64">
        <v>6.01</v>
      </c>
    </row>
    <row r="17" spans="3:19">
      <c r="C17" s="61">
        <f t="shared" si="1"/>
        <v>432.5</v>
      </c>
      <c r="D17" s="101">
        <f t="shared" si="5"/>
        <v>430</v>
      </c>
      <c r="E17" s="101">
        <v>435</v>
      </c>
      <c r="F17" s="62">
        <f t="shared" si="2"/>
        <v>5</v>
      </c>
      <c r="G17" s="102">
        <v>2.5</v>
      </c>
      <c r="H17" s="63">
        <f t="shared" si="3"/>
        <v>58.849999999999994</v>
      </c>
      <c r="I17" s="63">
        <f t="shared" si="4"/>
        <v>30</v>
      </c>
      <c r="J17" s="90" t="e">
        <f>HLOOKUP($G17,#REF!,$J$5,1)*$F17</f>
        <v>#REF!</v>
      </c>
      <c r="K17" s="63" t="e">
        <f>HLOOKUP($G17,#REF!,$K$5,0)*$F17</f>
        <v>#REF!</v>
      </c>
      <c r="L17" s="63" t="e">
        <f>HLOOKUP($G17,#REF!,$L$5,0)*$F17</f>
        <v>#REF!</v>
      </c>
      <c r="M17" s="63" t="e">
        <f>HLOOKUP($G17,#REF!,$M$5,0)*$F17</f>
        <v>#REF!</v>
      </c>
      <c r="N17" s="63" t="e">
        <f>HLOOKUP($G17,#REF!,$N$5,0)*$F17</f>
        <v>#REF!</v>
      </c>
      <c r="O17" s="63" t="e">
        <f>HLOOKUP($G17,#REF!,$O$5,0)*$F17</f>
        <v>#REF!</v>
      </c>
      <c r="P17" s="63" t="e">
        <f>HLOOKUP($G17,#REF!,$P$5,0)*$F17</f>
        <v>#REF!</v>
      </c>
      <c r="R17" s="64">
        <v>11.77</v>
      </c>
      <c r="S17" s="64">
        <v>6</v>
      </c>
    </row>
    <row r="18" spans="3:19">
      <c r="C18" s="61">
        <f>+(D18+E18)/2</f>
        <v>437.5</v>
      </c>
      <c r="D18" s="101">
        <f t="shared" si="5"/>
        <v>435</v>
      </c>
      <c r="E18" s="101">
        <v>440</v>
      </c>
      <c r="F18" s="62">
        <f t="shared" si="2"/>
        <v>5</v>
      </c>
      <c r="G18" s="102">
        <v>3</v>
      </c>
      <c r="H18" s="63">
        <f t="shared" si="3"/>
        <v>57.199999999999996</v>
      </c>
      <c r="I18" s="63">
        <f t="shared" si="4"/>
        <v>38.35</v>
      </c>
      <c r="J18" s="90" t="e">
        <f>HLOOKUP($G18,#REF!,$J$5,1)*$F18</f>
        <v>#REF!</v>
      </c>
      <c r="K18" s="63" t="e">
        <f>HLOOKUP($G18,#REF!,$K$5,0)*$F18</f>
        <v>#REF!</v>
      </c>
      <c r="L18" s="63" t="e">
        <f>HLOOKUP($G18,#REF!,$L$5,0)*$F18</f>
        <v>#REF!</v>
      </c>
      <c r="M18" s="63" t="e">
        <f>HLOOKUP($G18,#REF!,$M$5,0)*$F18</f>
        <v>#REF!</v>
      </c>
      <c r="N18" s="63" t="e">
        <f>HLOOKUP($G18,#REF!,$N$5,0)*$F18</f>
        <v>#REF!</v>
      </c>
      <c r="O18" s="63" t="e">
        <f>HLOOKUP($G18,#REF!,$O$5,0)*$F18</f>
        <v>#REF!</v>
      </c>
      <c r="P18" s="63" t="e">
        <f>HLOOKUP($G18,#REF!,$P$5,0)*$F18</f>
        <v>#REF!</v>
      </c>
      <c r="R18" s="64">
        <v>11.44</v>
      </c>
      <c r="S18" s="64">
        <v>7.67</v>
      </c>
    </row>
    <row r="19" spans="3:19">
      <c r="C19" s="61">
        <f t="shared" si="1"/>
        <v>442.5</v>
      </c>
      <c r="D19" s="101">
        <f t="shared" si="5"/>
        <v>440</v>
      </c>
      <c r="E19" s="101">
        <v>445</v>
      </c>
      <c r="F19" s="62">
        <f t="shared" si="2"/>
        <v>5</v>
      </c>
      <c r="G19" s="102">
        <v>4</v>
      </c>
      <c r="H19" s="63">
        <f t="shared" si="3"/>
        <v>107.75</v>
      </c>
      <c r="I19" s="63">
        <f t="shared" si="4"/>
        <v>65.25</v>
      </c>
      <c r="J19" s="90" t="e">
        <f>HLOOKUP($G19,#REF!,$J$5,1)*$F19</f>
        <v>#REF!</v>
      </c>
      <c r="K19" s="63" t="e">
        <f>HLOOKUP($G19,#REF!,$K$5,0)*$F19</f>
        <v>#REF!</v>
      </c>
      <c r="L19" s="63" t="e">
        <f>HLOOKUP($G19,#REF!,$L$5,0)*$F19</f>
        <v>#REF!</v>
      </c>
      <c r="M19" s="63" t="e">
        <f>HLOOKUP($G19,#REF!,$M$5,0)*$F19</f>
        <v>#REF!</v>
      </c>
      <c r="N19" s="63" t="e">
        <f>HLOOKUP($G19,#REF!,$N$5,0)*$F19</f>
        <v>#REF!</v>
      </c>
      <c r="O19" s="63" t="e">
        <f>HLOOKUP($G19,#REF!,$O$5,0)*$F19</f>
        <v>#REF!</v>
      </c>
      <c r="P19" s="63" t="e">
        <f>HLOOKUP($G19,#REF!,$P$5,0)*$F19</f>
        <v>#REF!</v>
      </c>
      <c r="R19" s="64">
        <v>21.55</v>
      </c>
      <c r="S19" s="64">
        <v>13.05</v>
      </c>
    </row>
    <row r="20" spans="3:19">
      <c r="C20" s="61">
        <f t="shared" si="1"/>
        <v>447.5</v>
      </c>
      <c r="D20" s="101">
        <f t="shared" si="5"/>
        <v>445</v>
      </c>
      <c r="E20" s="101">
        <v>450</v>
      </c>
      <c r="F20" s="62">
        <f t="shared" si="2"/>
        <v>5</v>
      </c>
      <c r="G20" s="102">
        <v>7</v>
      </c>
      <c r="H20" s="63">
        <f t="shared" si="3"/>
        <v>241</v>
      </c>
      <c r="I20" s="63">
        <f t="shared" si="4"/>
        <v>176</v>
      </c>
      <c r="J20" s="90" t="e">
        <f>HLOOKUP($G20,#REF!,$J$5,1)*$F20</f>
        <v>#REF!</v>
      </c>
      <c r="K20" s="63" t="e">
        <f>HLOOKUP($G20,#REF!,$K$5,0)*$F20</f>
        <v>#REF!</v>
      </c>
      <c r="L20" s="63" t="e">
        <f>HLOOKUP($G20,#REF!,$L$5,0)*$F20</f>
        <v>#REF!</v>
      </c>
      <c r="M20" s="63" t="e">
        <f>HLOOKUP($G20,#REF!,$M$5,0)*$F20</f>
        <v>#REF!</v>
      </c>
      <c r="N20" s="63" t="e">
        <f>HLOOKUP($G20,#REF!,$N$5,0)*$F20</f>
        <v>#REF!</v>
      </c>
      <c r="O20" s="63" t="e">
        <f>HLOOKUP($G20,#REF!,$O$5,0)*$F20</f>
        <v>#REF!</v>
      </c>
      <c r="P20" s="63" t="e">
        <f>HLOOKUP($G20,#REF!,$P$5,0)*$F20</f>
        <v>#REF!</v>
      </c>
      <c r="R20" s="64">
        <v>48.2</v>
      </c>
      <c r="S20" s="64">
        <v>35.200000000000003</v>
      </c>
    </row>
    <row r="21" spans="3:19">
      <c r="C21" s="61">
        <f t="shared" si="1"/>
        <v>452.5</v>
      </c>
      <c r="D21" s="101">
        <f t="shared" si="5"/>
        <v>450</v>
      </c>
      <c r="E21" s="101">
        <v>455</v>
      </c>
      <c r="F21" s="62">
        <f t="shared" si="2"/>
        <v>5</v>
      </c>
      <c r="G21" s="102">
        <v>7</v>
      </c>
      <c r="H21" s="63">
        <f t="shared" si="3"/>
        <v>270.3</v>
      </c>
      <c r="I21" s="63">
        <f t="shared" si="4"/>
        <v>201.64999999999998</v>
      </c>
      <c r="J21" s="90" t="e">
        <f>HLOOKUP($G21,#REF!,$J$5,1)*$F21</f>
        <v>#REF!</v>
      </c>
      <c r="K21" s="63" t="e">
        <f>HLOOKUP($G21,#REF!,$K$5,0)*$F21</f>
        <v>#REF!</v>
      </c>
      <c r="L21" s="63" t="e">
        <f>HLOOKUP($G21,#REF!,$L$5,0)*$F21</f>
        <v>#REF!</v>
      </c>
      <c r="M21" s="63" t="e">
        <f>HLOOKUP($G21,#REF!,$M$5,0)*$F21</f>
        <v>#REF!</v>
      </c>
      <c r="N21" s="63" t="e">
        <f>HLOOKUP($G21,#REF!,$N$5,0)*$F21</f>
        <v>#REF!</v>
      </c>
      <c r="O21" s="63" t="e">
        <f>HLOOKUP($G21,#REF!,$O$5,0)*$F21</f>
        <v>#REF!</v>
      </c>
      <c r="P21" s="63" t="e">
        <f>HLOOKUP($G21,#REF!,$P$5,0)*$F21</f>
        <v>#REF!</v>
      </c>
      <c r="R21" s="64">
        <v>54.06</v>
      </c>
      <c r="S21" s="64">
        <v>40.33</v>
      </c>
    </row>
    <row r="22" spans="3:19">
      <c r="C22" s="61">
        <f t="shared" si="1"/>
        <v>457.5</v>
      </c>
      <c r="D22" s="101">
        <f t="shared" si="5"/>
        <v>455</v>
      </c>
      <c r="E22" s="101">
        <v>460</v>
      </c>
      <c r="F22" s="62">
        <f t="shared" si="2"/>
        <v>5</v>
      </c>
      <c r="G22" s="102">
        <v>7</v>
      </c>
      <c r="H22" s="63">
        <f t="shared" si="3"/>
        <v>285.75</v>
      </c>
      <c r="I22" s="63">
        <f t="shared" si="4"/>
        <v>202.25</v>
      </c>
      <c r="J22" s="90" t="e">
        <f>HLOOKUP($G22,#REF!,$J$5,1)*$F22</f>
        <v>#REF!</v>
      </c>
      <c r="K22" s="63" t="e">
        <f>HLOOKUP($G22,#REF!,$K$5,0)*$F22</f>
        <v>#REF!</v>
      </c>
      <c r="L22" s="63" t="e">
        <f>HLOOKUP($G22,#REF!,$L$5,0)*$F22</f>
        <v>#REF!</v>
      </c>
      <c r="M22" s="63" t="e">
        <f>HLOOKUP($G22,#REF!,$M$5,0)*$F22</f>
        <v>#REF!</v>
      </c>
      <c r="N22" s="63" t="e">
        <f>HLOOKUP($G22,#REF!,$N$5,0)*$F22</f>
        <v>#REF!</v>
      </c>
      <c r="O22" s="63" t="e">
        <f>HLOOKUP($G22,#REF!,$O$5,0)*$F22</f>
        <v>#REF!</v>
      </c>
      <c r="P22" s="63" t="e">
        <f>HLOOKUP($G22,#REF!,$P$5,0)*$F22</f>
        <v>#REF!</v>
      </c>
      <c r="R22" s="64">
        <v>57.15</v>
      </c>
      <c r="S22" s="64">
        <v>40.450000000000003</v>
      </c>
    </row>
    <row r="23" spans="3:19">
      <c r="C23" s="61">
        <f t="shared" si="1"/>
        <v>462.5</v>
      </c>
      <c r="D23" s="101">
        <f t="shared" si="5"/>
        <v>460</v>
      </c>
      <c r="E23" s="101">
        <v>465</v>
      </c>
      <c r="F23" s="62">
        <f t="shared" si="2"/>
        <v>5</v>
      </c>
      <c r="G23" s="102">
        <v>7</v>
      </c>
      <c r="H23" s="63">
        <f t="shared" si="3"/>
        <v>345.55</v>
      </c>
      <c r="I23" s="63">
        <f t="shared" si="4"/>
        <v>203.55</v>
      </c>
      <c r="J23" s="90" t="e">
        <f>HLOOKUP($G23,#REF!,$J$5,1)*$F23</f>
        <v>#REF!</v>
      </c>
      <c r="K23" s="63" t="e">
        <f>HLOOKUP($G23,#REF!,$K$5,0)*$F23</f>
        <v>#REF!</v>
      </c>
      <c r="L23" s="63" t="e">
        <f>HLOOKUP($G23,#REF!,$L$5,0)*$F23</f>
        <v>#REF!</v>
      </c>
      <c r="M23" s="63" t="e">
        <f>HLOOKUP($G23,#REF!,$M$5,0)*$F23</f>
        <v>#REF!</v>
      </c>
      <c r="N23" s="63" t="e">
        <f>HLOOKUP($G23,#REF!,$N$5,0)*$F23</f>
        <v>#REF!</v>
      </c>
      <c r="O23" s="63" t="e">
        <f>HLOOKUP($G23,#REF!,$O$5,0)*$F23</f>
        <v>#REF!</v>
      </c>
      <c r="P23" s="63" t="e">
        <f>HLOOKUP($G23,#REF!,$P$5,0)*$F23</f>
        <v>#REF!</v>
      </c>
      <c r="R23" s="64">
        <v>69.11</v>
      </c>
      <c r="S23" s="64">
        <v>40.71</v>
      </c>
    </row>
    <row r="24" spans="3:19">
      <c r="C24" s="61">
        <f t="shared" si="1"/>
        <v>466</v>
      </c>
      <c r="D24" s="101">
        <f t="shared" si="5"/>
        <v>465</v>
      </c>
      <c r="E24" s="101">
        <v>467</v>
      </c>
      <c r="F24" s="62">
        <f t="shared" si="2"/>
        <v>2</v>
      </c>
      <c r="G24" s="102">
        <v>7</v>
      </c>
      <c r="H24" s="63">
        <f t="shared" si="3"/>
        <v>160.12</v>
      </c>
      <c r="I24" s="63">
        <f t="shared" si="4"/>
        <v>82.36</v>
      </c>
      <c r="J24" s="90" t="e">
        <f>HLOOKUP($G24,#REF!,$J$5,1)*$F24</f>
        <v>#REF!</v>
      </c>
      <c r="K24" s="63" t="e">
        <f>HLOOKUP($G24,#REF!,$K$5,0)*$F24</f>
        <v>#REF!</v>
      </c>
      <c r="L24" s="63" t="e">
        <f>HLOOKUP($G24,#REF!,$L$5,0)*$F24</f>
        <v>#REF!</v>
      </c>
      <c r="M24" s="63" t="e">
        <f>HLOOKUP($G24,#REF!,$M$5,0)*$F24</f>
        <v>#REF!</v>
      </c>
      <c r="N24" s="63" t="e">
        <f>HLOOKUP($G24,#REF!,$N$5,0)*$F24</f>
        <v>#REF!</v>
      </c>
      <c r="O24" s="63" t="e">
        <f>HLOOKUP($G24,#REF!,$O$5,0)*$F24</f>
        <v>#REF!</v>
      </c>
      <c r="P24" s="63" t="e">
        <f>HLOOKUP($G24,#REF!,$P$5,0)*$F24</f>
        <v>#REF!</v>
      </c>
      <c r="R24" s="64">
        <v>80.06</v>
      </c>
      <c r="S24" s="64">
        <v>41.18</v>
      </c>
    </row>
    <row r="25" spans="3:19">
      <c r="C25" s="61">
        <f t="shared" si="1"/>
        <v>468.5</v>
      </c>
      <c r="D25" s="101">
        <f t="shared" si="5"/>
        <v>467</v>
      </c>
      <c r="E25" s="101">
        <v>470</v>
      </c>
      <c r="F25" s="62">
        <f t="shared" si="2"/>
        <v>3</v>
      </c>
      <c r="G25" s="102">
        <v>2.5</v>
      </c>
      <c r="H25" s="63">
        <f t="shared" si="3"/>
        <v>42.33</v>
      </c>
      <c r="I25" s="63">
        <f t="shared" si="4"/>
        <v>32.61</v>
      </c>
      <c r="J25" s="90" t="e">
        <f>HLOOKUP($G25,#REF!,$J$5,1)*$F25</f>
        <v>#REF!</v>
      </c>
      <c r="K25" s="63" t="e">
        <f>HLOOKUP($G25,#REF!,$K$5,0)*$F25</f>
        <v>#REF!</v>
      </c>
      <c r="L25" s="63" t="e">
        <f>HLOOKUP($G25,#REF!,$L$5,0)*$F25</f>
        <v>#REF!</v>
      </c>
      <c r="M25" s="63" t="e">
        <f>HLOOKUP($G25,#REF!,$M$5,0)*$F25</f>
        <v>#REF!</v>
      </c>
      <c r="N25" s="63" t="e">
        <f>HLOOKUP($G25,#REF!,$N$5,0)*$F25</f>
        <v>#REF!</v>
      </c>
      <c r="O25" s="63" t="e">
        <f>HLOOKUP($G25,#REF!,$O$5,0)*$F25</f>
        <v>#REF!</v>
      </c>
      <c r="P25" s="63" t="e">
        <f>HLOOKUP($G25,#REF!,$P$5,0)*$F25</f>
        <v>#REF!</v>
      </c>
      <c r="R25" s="64">
        <v>14.11</v>
      </c>
      <c r="S25" s="64">
        <v>10.87</v>
      </c>
    </row>
    <row r="26" spans="3:19">
      <c r="F26" s="65"/>
    </row>
    <row r="27" spans="3:19">
      <c r="G27" s="66" t="s">
        <v>19</v>
      </c>
      <c r="H27" s="67">
        <f>+SUM(H9:H25)</f>
        <v>2032.1988999999999</v>
      </c>
      <c r="I27" s="67">
        <f t="shared" ref="I27:P27" si="6">+SUM(I9:I25)</f>
        <v>1257.8557999999998</v>
      </c>
      <c r="J27" s="67" t="e">
        <f t="shared" si="6"/>
        <v>#REF!</v>
      </c>
      <c r="K27" s="67" t="e">
        <f t="shared" si="6"/>
        <v>#REF!</v>
      </c>
      <c r="L27" s="67" t="e">
        <f t="shared" si="6"/>
        <v>#REF!</v>
      </c>
      <c r="M27" s="67" t="e">
        <f t="shared" si="6"/>
        <v>#REF!</v>
      </c>
      <c r="N27" s="67" t="e">
        <f t="shared" si="6"/>
        <v>#REF!</v>
      </c>
      <c r="O27" s="67" t="e">
        <f t="shared" si="6"/>
        <v>#REF!</v>
      </c>
      <c r="P27" s="67" t="e">
        <f t="shared" si="6"/>
        <v>#REF!</v>
      </c>
    </row>
    <row r="29" spans="3:19" ht="14.4" thickBot="1"/>
    <row r="30" spans="3:19">
      <c r="I30" s="68"/>
      <c r="J30" s="69" t="s">
        <v>158</v>
      </c>
      <c r="K30" s="70" t="s">
        <v>159</v>
      </c>
      <c r="L30" s="69" t="s">
        <v>160</v>
      </c>
      <c r="M30" s="69" t="s">
        <v>161</v>
      </c>
      <c r="N30" s="42" t="s">
        <v>162</v>
      </c>
    </row>
    <row r="31" spans="3:19">
      <c r="I31" s="71" t="s">
        <v>163</v>
      </c>
      <c r="J31" s="29">
        <v>1.84</v>
      </c>
      <c r="K31" s="57">
        <v>30</v>
      </c>
      <c r="L31" s="29">
        <f>+J31*K31</f>
        <v>55.2</v>
      </c>
      <c r="M31" s="28">
        <v>5</v>
      </c>
      <c r="N31" s="46">
        <f>+L31*M31</f>
        <v>276</v>
      </c>
      <c r="O31" s="28" t="s">
        <v>31</v>
      </c>
    </row>
    <row r="32" spans="3:19">
      <c r="I32" s="71" t="s">
        <v>164</v>
      </c>
      <c r="J32" s="29">
        <v>2.19</v>
      </c>
      <c r="K32" s="57">
        <v>30</v>
      </c>
      <c r="L32" s="29">
        <f>+J32*K32</f>
        <v>65.7</v>
      </c>
      <c r="M32" s="28">
        <v>5</v>
      </c>
      <c r="N32" s="46">
        <f>+L32*M32</f>
        <v>328.5</v>
      </c>
    </row>
    <row r="33" spans="9:14">
      <c r="I33" s="71" t="s">
        <v>165</v>
      </c>
      <c r="J33" s="29">
        <v>3.46</v>
      </c>
      <c r="K33" s="57">
        <v>35</v>
      </c>
      <c r="L33" s="29">
        <f>+J33*K33</f>
        <v>121.1</v>
      </c>
      <c r="M33" s="28">
        <v>5</v>
      </c>
      <c r="N33" s="46">
        <f>+L33*M33</f>
        <v>605.5</v>
      </c>
    </row>
    <row r="34" spans="9:14" ht="14.4" thickBot="1">
      <c r="I34" s="72" t="s">
        <v>166</v>
      </c>
      <c r="J34" s="73">
        <v>8.73</v>
      </c>
      <c r="K34" s="30">
        <v>65</v>
      </c>
      <c r="L34" s="73">
        <f>+J34*K34</f>
        <v>567.45000000000005</v>
      </c>
      <c r="M34" s="38">
        <v>5</v>
      </c>
      <c r="N34" s="74">
        <f>+L34*M34</f>
        <v>2837.25</v>
      </c>
    </row>
    <row r="35" spans="9:14">
      <c r="I35" s="29"/>
      <c r="J35" s="29"/>
      <c r="K35" s="29"/>
      <c r="L35" s="29"/>
    </row>
    <row r="38" spans="9:14">
      <c r="K38" s="3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</vt:i4>
      </vt:variant>
    </vt:vector>
  </HeadingPairs>
  <TitlesOfParts>
    <vt:vector size="9" baseType="lpstr">
      <vt:lpstr>DATOS</vt:lpstr>
      <vt:lpstr>H55</vt:lpstr>
      <vt:lpstr>Base de datos </vt:lpstr>
      <vt:lpstr>Ayuda de diseño </vt:lpstr>
      <vt:lpstr>Resumen</vt:lpstr>
      <vt:lpstr>MetArmadura</vt:lpstr>
      <vt:lpstr>ResMet</vt:lpstr>
      <vt:lpstr>'H55'!Área_de_impresión</vt:lpstr>
      <vt:lpstr>'H55'!Títulos_a_imprimir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Jhomayra Herrera Villa</dc:creator>
  <cp:lastModifiedBy>Jhomayra Herrera Villa</cp:lastModifiedBy>
  <cp:lastPrinted>2015-03-14T23:17:04Z</cp:lastPrinted>
  <dcterms:created xsi:type="dcterms:W3CDTF">2009-02-18T13:57:18Z</dcterms:created>
  <dcterms:modified xsi:type="dcterms:W3CDTF">2025-01-20T14:59:22Z</dcterms:modified>
</cp:coreProperties>
</file>