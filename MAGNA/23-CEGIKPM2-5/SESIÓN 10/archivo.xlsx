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eya\Desktop\Imágenes Brochure\02. Dictado de Cursos\01. Planificación, programación y control de Mantto\Información a compartir\"/>
    </mc:Choice>
  </mc:AlternateContent>
  <xr:revisionPtr revIDLastSave="0" documentId="13_ncr:1_{F5A2C047-12E2-4947-AFCF-210FF4C98880}" xr6:coauthVersionLast="47" xr6:coauthVersionMax="47" xr10:uidLastSave="{00000000-0000-0000-0000-000000000000}"/>
  <bookViews>
    <workbookView xWindow="-120" yWindow="-120" windowWidth="20730" windowHeight="11160" xr2:uid="{82172CE9-C845-495E-97D4-0E34573E031F}"/>
  </bookViews>
  <sheets>
    <sheet name="Caso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0" i="1" l="1"/>
  <c r="G10" i="1" l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B10" i="1"/>
  <c r="B2" i="1"/>
  <c r="B8" i="1"/>
  <c r="D10" i="1" l="1"/>
  <c r="E10" i="1" s="1"/>
  <c r="B11" i="1"/>
  <c r="C10" i="1"/>
  <c r="D11" i="1" l="1"/>
  <c r="E11" i="1" s="1"/>
  <c r="B12" i="1"/>
  <c r="C11" i="1"/>
  <c r="F10" i="1"/>
  <c r="I10" i="1" s="1"/>
  <c r="B13" i="1" l="1"/>
  <c r="D12" i="1"/>
  <c r="E12" i="1"/>
  <c r="C12" i="1"/>
  <c r="F11" i="1"/>
  <c r="G11" i="1" s="1"/>
  <c r="I11" i="1" s="1"/>
  <c r="C13" i="1" l="1"/>
  <c r="F12" i="1"/>
  <c r="G12" i="1" s="1"/>
  <c r="I12" i="1" s="1"/>
  <c r="D13" i="1"/>
  <c r="E13" i="1" s="1"/>
  <c r="B14" i="1"/>
  <c r="F13" i="1" l="1"/>
  <c r="G13" i="1" s="1"/>
  <c r="I13" i="1" s="1"/>
  <c r="C14" i="1"/>
  <c r="D14" i="1"/>
  <c r="E14" i="1" s="1"/>
  <c r="B15" i="1"/>
  <c r="B16" i="1" l="1"/>
  <c r="D15" i="1"/>
  <c r="E15" i="1" s="1"/>
  <c r="F14" i="1"/>
  <c r="G14" i="1" s="1"/>
  <c r="I14" i="1" s="1"/>
  <c r="C15" i="1"/>
  <c r="C16" i="1" l="1"/>
  <c r="F15" i="1"/>
  <c r="G15" i="1" s="1"/>
  <c r="I15" i="1" s="1"/>
  <c r="B17" i="1"/>
  <c r="D16" i="1"/>
  <c r="E16" i="1" s="1"/>
  <c r="B18" i="1" l="1"/>
  <c r="D17" i="1"/>
  <c r="E17" i="1" s="1"/>
  <c r="F16" i="1"/>
  <c r="G16" i="1" s="1"/>
  <c r="I16" i="1" s="1"/>
  <c r="C17" i="1"/>
  <c r="F17" i="1" l="1"/>
  <c r="G17" i="1" s="1"/>
  <c r="I17" i="1" s="1"/>
  <c r="C18" i="1"/>
  <c r="B19" i="1"/>
  <c r="D18" i="1"/>
  <c r="E18" i="1" s="1"/>
  <c r="F18" i="1" l="1"/>
  <c r="G18" i="1" s="1"/>
  <c r="I18" i="1" s="1"/>
  <c r="C19" i="1"/>
  <c r="B20" i="1"/>
  <c r="D19" i="1"/>
  <c r="E19" i="1" s="1"/>
  <c r="B21" i="1" l="1"/>
  <c r="D20" i="1"/>
  <c r="E20" i="1" s="1"/>
  <c r="F19" i="1"/>
  <c r="G19" i="1" s="1"/>
  <c r="I19" i="1" s="1"/>
  <c r="C20" i="1"/>
  <c r="C21" i="1" l="1"/>
  <c r="F20" i="1"/>
  <c r="G20" i="1" s="1"/>
  <c r="I20" i="1" s="1"/>
  <c r="B22" i="1"/>
  <c r="D21" i="1"/>
  <c r="E21" i="1" s="1"/>
  <c r="B23" i="1" l="1"/>
  <c r="D22" i="1"/>
  <c r="E22" i="1" s="1"/>
  <c r="C22" i="1"/>
  <c r="F21" i="1"/>
  <c r="G21" i="1" s="1"/>
  <c r="I21" i="1" s="1"/>
  <c r="C23" i="1" l="1"/>
  <c r="F22" i="1"/>
  <c r="G22" i="1" s="1"/>
  <c r="I22" i="1" s="1"/>
  <c r="B24" i="1"/>
  <c r="D23" i="1"/>
  <c r="E23" i="1" s="1"/>
  <c r="C24" i="1" l="1"/>
  <c r="F23" i="1"/>
  <c r="G23" i="1" s="1"/>
  <c r="I23" i="1" s="1"/>
  <c r="B25" i="1"/>
  <c r="D24" i="1"/>
  <c r="E24" i="1" s="1"/>
  <c r="B26" i="1" l="1"/>
  <c r="D25" i="1"/>
  <c r="E25" i="1" s="1"/>
  <c r="C25" i="1"/>
  <c r="F24" i="1"/>
  <c r="G24" i="1" s="1"/>
  <c r="N2" i="1" l="1"/>
  <c r="I24" i="1"/>
  <c r="J14" i="1" s="1"/>
  <c r="B27" i="1"/>
  <c r="D26" i="1"/>
  <c r="E26" i="1" s="1"/>
  <c r="C26" i="1"/>
  <c r="F25" i="1"/>
  <c r="G25" i="1" s="1"/>
  <c r="I25" i="1" s="1"/>
  <c r="C27" i="1" l="1"/>
  <c r="F26" i="1"/>
  <c r="G26" i="1" s="1"/>
  <c r="I26" i="1" s="1"/>
  <c r="B28" i="1"/>
  <c r="D27" i="1"/>
  <c r="E27" i="1" s="1"/>
  <c r="B29" i="1" l="1"/>
  <c r="D29" i="1" s="1"/>
  <c r="D28" i="1"/>
  <c r="E28" i="1" s="1"/>
  <c r="C28" i="1"/>
  <c r="F27" i="1"/>
  <c r="G27" i="1" s="1"/>
  <c r="I27" i="1" s="1"/>
  <c r="E29" i="1" l="1"/>
  <c r="F28" i="1"/>
  <c r="G28" i="1" s="1"/>
  <c r="I28" i="1" s="1"/>
  <c r="C29" i="1"/>
  <c r="F29" i="1" s="1"/>
  <c r="G29" i="1" l="1"/>
  <c r="I29" i="1" s="1"/>
</calcChain>
</file>

<file path=xl/sharedStrings.xml><?xml version="1.0" encoding="utf-8"?>
<sst xmlns="http://schemas.openxmlformats.org/spreadsheetml/2006/main" count="22" uniqueCount="21">
  <si>
    <t>r</t>
  </si>
  <si>
    <t>CAE</t>
  </si>
  <si>
    <t>CAN (15 años)</t>
  </si>
  <si>
    <t>A</t>
  </si>
  <si>
    <t>1 año de edad</t>
  </si>
  <si>
    <t>Camión1</t>
  </si>
  <si>
    <t>Coym</t>
  </si>
  <si>
    <t>incremento</t>
  </si>
  <si>
    <t>x año</t>
  </si>
  <si>
    <t>Ciclo</t>
  </si>
  <si>
    <t>Disminuye</t>
  </si>
  <si>
    <t>primer año reduce 20%</t>
  </si>
  <si>
    <t>hoy</t>
  </si>
  <si>
    <t>Costo reventa</t>
  </si>
  <si>
    <t>Co&amp;m presente</t>
  </si>
  <si>
    <t>Co&amp;m presente TOTAL</t>
  </si>
  <si>
    <t>Costo reventa presente</t>
  </si>
  <si>
    <t>CAN</t>
  </si>
  <si>
    <t>CRF</t>
  </si>
  <si>
    <t>Tasa (i)</t>
  </si>
  <si>
    <t>Co&amp;m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</si>
</sst>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 vertic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/>
    </xf>
    <xf numFmtId="1" fontId="0" fillId="0" borderId="0" xfId="0" applyNumberFormat="1"/>
    <xf numFmtId="164" fontId="0" fillId="2" borderId="0" xfId="0" applyNumberFormat="1" applyFill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/>
    <xf numFmtId="164" fontId="0" fillId="3" borderId="0" xfId="0" applyNumberFormat="1" applyFill="1"/>
    <xf numFmtId="0" fontId="1" fillId="0" borderId="1" xfId="0" applyFont="1" applyFill="1" applyBorder="1" applyAlignment="1">
      <alignment horizontal="center" vertical="center" wrapText="1"/>
    </xf>
    <xf numFmtId="164" fontId="0" fillId="0" borderId="1" xfId="0" applyNumberFormat="1" applyFill="1" applyBorder="1"/>
    <xf numFmtId="0" fontId="0" fillId="0" borderId="1" xfId="0" applyFill="1" applyBorder="1"/>
    <xf numFmtId="1" fontId="0" fillId="0" borderId="1" xfId="0" applyNumberFormat="1" applyFill="1" applyBorder="1" applyAlignment="1">
      <alignment horizontal="center" vertical="center"/>
    </xf>
    <xf numFmtId="1" fontId="0" fillId="0" borderId="1" xfId="0" applyNumberFormat="1" applyFill="1" applyBorder="1"/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/>
    <xf numFmtId="0" fontId="0" fillId="2" borderId="1" xfId="0" applyFill="1" applyBorder="1"/>
    <xf numFmtId="1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/>
    <xf numFmtId="1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/>
    <xf numFmtId="0" fontId="0" fillId="4" borderId="1" xfId="0" applyFill="1" applyBorder="1"/>
    <xf numFmtId="1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/>
    <xf numFmtId="2" fontId="0" fillId="4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Caso5!$A$10:$A$29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Caso5!$I$10:$I$29</c:f>
              <c:numCache>
                <c:formatCode>0</c:formatCode>
                <c:ptCount val="20"/>
                <c:pt idx="0">
                  <c:v>49499.999999999956</c:v>
                </c:pt>
                <c:pt idx="1">
                  <c:v>44476.190476190444</c:v>
                </c:pt>
                <c:pt idx="2">
                  <c:v>43358.006042296038</c:v>
                </c:pt>
                <c:pt idx="3">
                  <c:v>43194.677871148437</c:v>
                </c:pt>
                <c:pt idx="4">
                  <c:v>43396.20153642034</c:v>
                </c:pt>
                <c:pt idx="5">
                  <c:v>43766.074879367909</c:v>
                </c:pt>
                <c:pt idx="6">
                  <c:v>44220.259284880573</c:v>
                </c:pt>
                <c:pt idx="7">
                  <c:v>44716.918631793866</c:v>
                </c:pt>
                <c:pt idx="8">
                  <c:v>45232.997521625424</c:v>
                </c:pt>
                <c:pt idx="9">
                  <c:v>45754.851126369867</c:v>
                </c:pt>
                <c:pt idx="10">
                  <c:v>46273.9845863355</c:v>
                </c:pt>
                <c:pt idx="11">
                  <c:v>46784.921287915298</c:v>
                </c:pt>
                <c:pt idx="12">
                  <c:v>47284.053628589696</c:v>
                </c:pt>
                <c:pt idx="13">
                  <c:v>47768.984975916974</c:v>
                </c:pt>
                <c:pt idx="14">
                  <c:v>48238.133567064775</c:v>
                </c:pt>
                <c:pt idx="15">
                  <c:v>48690.483737556977</c:v>
                </c:pt>
                <c:pt idx="16">
                  <c:v>49125.423816602924</c:v>
                </c:pt>
                <c:pt idx="17">
                  <c:v>49542.636999989074</c:v>
                </c:pt>
                <c:pt idx="18">
                  <c:v>49942.025707272944</c:v>
                </c:pt>
                <c:pt idx="19">
                  <c:v>50323.65773671191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BF-4385-A20F-2E678B361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325792"/>
        <c:axId val="296326352"/>
      </c:scatterChart>
      <c:valAx>
        <c:axId val="29632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96326352"/>
        <c:crosses val="autoZero"/>
        <c:crossBetween val="midCat"/>
      </c:valAx>
      <c:valAx>
        <c:axId val="29632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96325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10054</xdr:colOff>
      <xdr:row>5</xdr:row>
      <xdr:rowOff>6493</xdr:rowOff>
    </xdr:from>
    <xdr:to>
      <xdr:col>11</xdr:col>
      <xdr:colOff>193145</xdr:colOff>
      <xdr:row>7</xdr:row>
      <xdr:rowOff>167376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E83EF066-0439-4B63-9AFB-82F2FF75F9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32700" r="25144"/>
        <a:stretch/>
      </xdr:blipFill>
      <xdr:spPr bwMode="auto">
        <a:xfrm>
          <a:off x="7487179" y="958993"/>
          <a:ext cx="945091" cy="541883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436379</xdr:colOff>
      <xdr:row>0</xdr:row>
      <xdr:rowOff>171378</xdr:rowOff>
    </xdr:from>
    <xdr:to>
      <xdr:col>10</xdr:col>
      <xdr:colOff>244791</xdr:colOff>
      <xdr:row>2</xdr:row>
      <xdr:rowOff>6752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8A9CA88-E107-47EC-8048-10857D75D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389504" y="171378"/>
          <a:ext cx="1332412" cy="216374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39945</xdr:colOff>
      <xdr:row>0</xdr:row>
      <xdr:rowOff>156520</xdr:rowOff>
    </xdr:from>
    <xdr:to>
      <xdr:col>6</xdr:col>
      <xdr:colOff>640237</xdr:colOff>
      <xdr:row>3</xdr:row>
      <xdr:rowOff>35690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B740FED5-A924-4501-805F-99693D6F0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707070" y="156520"/>
          <a:ext cx="1362292" cy="45067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759353</xdr:colOff>
      <xdr:row>3</xdr:row>
      <xdr:rowOff>5759</xdr:rowOff>
    </xdr:from>
    <xdr:to>
      <xdr:col>8</xdr:col>
      <xdr:colOff>105374</xdr:colOff>
      <xdr:row>6</xdr:row>
      <xdr:rowOff>12908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66502FC9-DBD9-4E44-8EC0-F8D9071E5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664478" y="577259"/>
          <a:ext cx="2394021" cy="578649"/>
        </a:xfrm>
        <a:prstGeom prst="rect">
          <a:avLst/>
        </a:prstGeom>
        <a:noFill/>
      </xdr:spPr>
    </xdr:pic>
    <xdr:clientData/>
  </xdr:twoCellAnchor>
  <xdr:twoCellAnchor>
    <xdr:from>
      <xdr:col>3</xdr:col>
      <xdr:colOff>202012</xdr:colOff>
      <xdr:row>32</xdr:row>
      <xdr:rowOff>55056</xdr:rowOff>
    </xdr:from>
    <xdr:to>
      <xdr:col>14</xdr:col>
      <xdr:colOff>95249</xdr:colOff>
      <xdr:row>54</xdr:row>
      <xdr:rowOff>40820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933732E2-7F51-4A21-BB0A-6E49CAFFD8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200705</xdr:colOff>
      <xdr:row>12</xdr:row>
      <xdr:rowOff>57452</xdr:rowOff>
    </xdr:from>
    <xdr:to>
      <xdr:col>19</xdr:col>
      <xdr:colOff>391206</xdr:colOff>
      <xdr:row>32</xdr:row>
      <xdr:rowOff>71061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320700-A041-B61D-35B8-6A062FF992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26462" t="34417" r="12559" b="13308"/>
        <a:stretch/>
      </xdr:blipFill>
      <xdr:spPr>
        <a:xfrm>
          <a:off x="6915830" y="2724452"/>
          <a:ext cx="7929564" cy="38236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7238-0B20-48B3-98A7-B30525161E1F}">
  <dimension ref="A1:N30"/>
  <sheetViews>
    <sheetView tabSelected="1" zoomScaleNormal="100" workbookViewId="0">
      <selection activeCell="N7" sqref="N7"/>
    </sheetView>
  </sheetViews>
  <sheetFormatPr baseColWidth="10" defaultRowHeight="15" x14ac:dyDescent="0.25"/>
  <cols>
    <col min="2" max="2" width="9.28515625" bestFit="1" customWidth="1"/>
    <col min="14" max="14" width="13.28515625" bestFit="1" customWidth="1"/>
  </cols>
  <sheetData>
    <row r="1" spans="1:14" x14ac:dyDescent="0.25">
      <c r="D1" t="s">
        <v>1</v>
      </c>
      <c r="N1" t="s">
        <v>2</v>
      </c>
    </row>
    <row r="2" spans="1:14" x14ac:dyDescent="0.25">
      <c r="A2" t="s">
        <v>3</v>
      </c>
      <c r="B2" s="1">
        <f>65000</f>
        <v>65000</v>
      </c>
      <c r="C2" t="s">
        <v>4</v>
      </c>
      <c r="M2" t="s">
        <v>5</v>
      </c>
      <c r="N2" s="2">
        <f>G24</f>
        <v>366903.07914701704</v>
      </c>
    </row>
    <row r="3" spans="1:14" x14ac:dyDescent="0.25">
      <c r="A3" t="s">
        <v>6</v>
      </c>
      <c r="B3" s="13">
        <v>30000</v>
      </c>
      <c r="M3" s="3"/>
      <c r="N3" s="4"/>
    </row>
    <row r="4" spans="1:14" x14ac:dyDescent="0.25">
      <c r="A4" t="s">
        <v>7</v>
      </c>
      <c r="B4" s="13">
        <v>2000</v>
      </c>
      <c r="C4" t="s">
        <v>8</v>
      </c>
    </row>
    <row r="5" spans="1:14" x14ac:dyDescent="0.25">
      <c r="A5" t="s">
        <v>19</v>
      </c>
      <c r="B5" s="13">
        <v>0.1</v>
      </c>
    </row>
    <row r="6" spans="1:14" x14ac:dyDescent="0.25">
      <c r="A6" s="3" t="s">
        <v>9</v>
      </c>
      <c r="B6" s="6">
        <v>15</v>
      </c>
    </row>
    <row r="7" spans="1:14" x14ac:dyDescent="0.25">
      <c r="A7" t="s">
        <v>10</v>
      </c>
      <c r="B7" s="1">
        <v>1750</v>
      </c>
      <c r="C7" t="s">
        <v>11</v>
      </c>
    </row>
    <row r="8" spans="1:14" x14ac:dyDescent="0.25">
      <c r="A8" t="s">
        <v>0</v>
      </c>
      <c r="B8" s="13">
        <f>1/(1+B5)</f>
        <v>0.90909090909090906</v>
      </c>
    </row>
    <row r="9" spans="1:14" ht="45" x14ac:dyDescent="0.25">
      <c r="A9" s="7" t="s">
        <v>12</v>
      </c>
      <c r="B9" s="14" t="s">
        <v>20</v>
      </c>
      <c r="C9" s="14" t="s">
        <v>13</v>
      </c>
      <c r="D9" s="14" t="s">
        <v>14</v>
      </c>
      <c r="E9" s="14" t="s">
        <v>15</v>
      </c>
      <c r="F9" s="14" t="s">
        <v>16</v>
      </c>
      <c r="G9" s="8" t="s">
        <v>17</v>
      </c>
      <c r="H9" s="8" t="s">
        <v>18</v>
      </c>
      <c r="I9" s="8" t="s">
        <v>1</v>
      </c>
    </row>
    <row r="10" spans="1:14" x14ac:dyDescent="0.25">
      <c r="A10" s="9">
        <v>1</v>
      </c>
      <c r="B10" s="15">
        <f>B3</f>
        <v>30000</v>
      </c>
      <c r="C10" s="16">
        <f>0.8*B2</f>
        <v>52000</v>
      </c>
      <c r="D10" s="17">
        <f>B10*$B$8^A10</f>
        <v>27272.727272727272</v>
      </c>
      <c r="E10" s="18">
        <f>D10</f>
        <v>27272.727272727272</v>
      </c>
      <c r="F10" s="18">
        <f>C10*$B$8^A10</f>
        <v>47272.727272727272</v>
      </c>
      <c r="G10" s="26">
        <f>$B$2+E10-F10</f>
        <v>44999.999999999993</v>
      </c>
      <c r="H10" s="11">
        <f>$B$5*(1+$B$5)^A10/((1+$B$5)^A10-1)</f>
        <v>1.0999999999999992</v>
      </c>
      <c r="I10" s="10">
        <f>H10*G10</f>
        <v>49499.999999999956</v>
      </c>
    </row>
    <row r="11" spans="1:14" x14ac:dyDescent="0.25">
      <c r="A11" s="9">
        <v>2</v>
      </c>
      <c r="B11" s="15">
        <f>B10+2000</f>
        <v>32000</v>
      </c>
      <c r="C11" s="16">
        <f>C10-1750</f>
        <v>50250</v>
      </c>
      <c r="D11" s="17">
        <f>B11*$B$8^A11</f>
        <v>26446.280991735533</v>
      </c>
      <c r="E11" s="18">
        <f>E10+D11</f>
        <v>53719.008264462806</v>
      </c>
      <c r="F11" s="18">
        <f>C11*$B$8^A11</f>
        <v>41528.925619834707</v>
      </c>
      <c r="G11" s="26">
        <f t="shared" ref="G11:G29" si="0">$B$2+E11-F11</f>
        <v>77190.082644628099</v>
      </c>
      <c r="H11" s="11">
        <f t="shared" ref="H11:H29" si="1">$B$5*(1+$B$5)^A11/((1+$B$5)^A11-1)</f>
        <v>0.57619047619047581</v>
      </c>
      <c r="I11" s="10">
        <f t="shared" ref="I11:I29" si="2">H11*G11</f>
        <v>44476.190476190444</v>
      </c>
    </row>
    <row r="12" spans="1:14" x14ac:dyDescent="0.25">
      <c r="A12" s="9">
        <v>3</v>
      </c>
      <c r="B12" s="15">
        <f t="shared" ref="B12:B29" si="3">B11+2000</f>
        <v>34000</v>
      </c>
      <c r="C12" s="16">
        <f t="shared" ref="C12:C29" si="4">C11-1750</f>
        <v>48500</v>
      </c>
      <c r="D12" s="17">
        <f>B12*$B$8^A12</f>
        <v>25544.703230653638</v>
      </c>
      <c r="E12" s="18">
        <f>E11+D12</f>
        <v>79263.71149511644</v>
      </c>
      <c r="F12" s="18">
        <f>C12*$B$8^A12</f>
        <v>36438.767843726513</v>
      </c>
      <c r="G12" s="26">
        <f t="shared" si="0"/>
        <v>107824.94365138993</v>
      </c>
      <c r="H12" s="11">
        <f t="shared" si="1"/>
        <v>0.40211480362537733</v>
      </c>
      <c r="I12" s="10">
        <f t="shared" si="2"/>
        <v>43358.006042296038</v>
      </c>
    </row>
    <row r="13" spans="1:14" x14ac:dyDescent="0.25">
      <c r="A13" s="19">
        <v>4</v>
      </c>
      <c r="B13" s="20">
        <f t="shared" si="3"/>
        <v>36000</v>
      </c>
      <c r="C13" s="21">
        <f t="shared" si="4"/>
        <v>46750</v>
      </c>
      <c r="D13" s="22">
        <f>B13*$B$8^A13</f>
        <v>24588.484393142538</v>
      </c>
      <c r="E13" s="23">
        <f t="shared" ref="E13:E29" si="5">E12+D13</f>
        <v>103852.19588825898</v>
      </c>
      <c r="F13" s="23">
        <f>C13*$B$8^A13</f>
        <v>31930.879038317045</v>
      </c>
      <c r="G13" s="24">
        <f t="shared" si="0"/>
        <v>136921.31684994194</v>
      </c>
      <c r="H13" s="25">
        <f t="shared" si="1"/>
        <v>0.31547080370609765</v>
      </c>
      <c r="I13" s="24">
        <f t="shared" si="2"/>
        <v>43194.677871148437</v>
      </c>
    </row>
    <row r="14" spans="1:14" x14ac:dyDescent="0.25">
      <c r="A14" s="9">
        <v>5</v>
      </c>
      <c r="B14" s="15">
        <f t="shared" si="3"/>
        <v>38000</v>
      </c>
      <c r="C14" s="16">
        <f t="shared" si="4"/>
        <v>45000</v>
      </c>
      <c r="D14" s="17">
        <f>B14*$B$8^A14</f>
        <v>23595.010276247893</v>
      </c>
      <c r="E14" s="18">
        <f t="shared" si="5"/>
        <v>127447.20616450688</v>
      </c>
      <c r="F14" s="18">
        <f>C14*$B$8^A14</f>
        <v>27941.459537661976</v>
      </c>
      <c r="G14" s="26">
        <f t="shared" si="0"/>
        <v>164505.74662684489</v>
      </c>
      <c r="H14" s="11">
        <f t="shared" si="1"/>
        <v>0.26379748079474524</v>
      </c>
      <c r="I14" s="10">
        <f t="shared" si="2"/>
        <v>43396.20153642034</v>
      </c>
      <c r="J14" s="5">
        <f>MIN(I10:I24)</f>
        <v>43194.677871148437</v>
      </c>
    </row>
    <row r="15" spans="1:14" x14ac:dyDescent="0.25">
      <c r="A15" s="9">
        <v>6</v>
      </c>
      <c r="B15" s="15">
        <f t="shared" si="3"/>
        <v>40000</v>
      </c>
      <c r="C15" s="16">
        <f t="shared" si="4"/>
        <v>43250</v>
      </c>
      <c r="D15" s="17">
        <f>B15*$B$8^A15</f>
        <v>22578.95720215109</v>
      </c>
      <c r="E15" s="18">
        <f t="shared" si="5"/>
        <v>150026.16336665797</v>
      </c>
      <c r="F15" s="18">
        <f>C15*$B$8^A15</f>
        <v>24413.497474825865</v>
      </c>
      <c r="G15" s="26">
        <f t="shared" si="0"/>
        <v>190612.66589183212</v>
      </c>
      <c r="H15" s="11">
        <f t="shared" si="1"/>
        <v>0.22960738036266726</v>
      </c>
      <c r="I15" s="10">
        <f t="shared" si="2"/>
        <v>43766.074879367909</v>
      </c>
    </row>
    <row r="16" spans="1:14" x14ac:dyDescent="0.25">
      <c r="A16" s="9">
        <v>7</v>
      </c>
      <c r="B16" s="15">
        <f t="shared" si="3"/>
        <v>42000</v>
      </c>
      <c r="C16" s="16">
        <f t="shared" si="4"/>
        <v>41500</v>
      </c>
      <c r="D16" s="17">
        <f>B16*$B$8^A16</f>
        <v>21552.640965689676</v>
      </c>
      <c r="E16" s="18">
        <f t="shared" si="5"/>
        <v>171578.80433234764</v>
      </c>
      <c r="F16" s="18">
        <f>C16*$B$8^A16</f>
        <v>21296.061906574323</v>
      </c>
      <c r="G16" s="26">
        <f t="shared" si="0"/>
        <v>215282.74242577332</v>
      </c>
      <c r="H16" s="11">
        <f t="shared" si="1"/>
        <v>0.20540549970059557</v>
      </c>
      <c r="I16" s="10">
        <f t="shared" si="2"/>
        <v>44220.259284880573</v>
      </c>
    </row>
    <row r="17" spans="1:9" x14ac:dyDescent="0.25">
      <c r="A17" s="27">
        <v>8</v>
      </c>
      <c r="B17" s="28">
        <f t="shared" si="3"/>
        <v>44000</v>
      </c>
      <c r="C17" s="29">
        <f t="shared" si="4"/>
        <v>39750</v>
      </c>
      <c r="D17" s="30">
        <f>B17*$B$8^A17</f>
        <v>20526.324729228261</v>
      </c>
      <c r="E17" s="31">
        <f t="shared" si="5"/>
        <v>192105.12906157592</v>
      </c>
      <c r="F17" s="31">
        <f>C17*$B$8^A17</f>
        <v>18543.668363336896</v>
      </c>
      <c r="G17" s="26">
        <f t="shared" si="0"/>
        <v>238561.46069823904</v>
      </c>
      <c r="H17" s="32">
        <f t="shared" si="1"/>
        <v>0.18744401757481335</v>
      </c>
      <c r="I17" s="26">
        <f t="shared" si="2"/>
        <v>44716.918631793866</v>
      </c>
    </row>
    <row r="18" spans="1:9" x14ac:dyDescent="0.25">
      <c r="A18" s="27">
        <v>9</v>
      </c>
      <c r="B18" s="28">
        <f t="shared" si="3"/>
        <v>46000</v>
      </c>
      <c r="C18" s="29">
        <f t="shared" si="4"/>
        <v>38000</v>
      </c>
      <c r="D18" s="30">
        <f>B18*$B$8^A18</f>
        <v>19508.490445134295</v>
      </c>
      <c r="E18" s="31">
        <f t="shared" si="5"/>
        <v>211613.61950671021</v>
      </c>
      <c r="F18" s="31">
        <f>C18*$B$8^A18</f>
        <v>16115.70949815442</v>
      </c>
      <c r="G18" s="26">
        <f t="shared" si="0"/>
        <v>260497.9100085558</v>
      </c>
      <c r="H18" s="32">
        <f t="shared" si="1"/>
        <v>0.1736405390743434</v>
      </c>
      <c r="I18" s="26">
        <f t="shared" si="2"/>
        <v>45232.997521625424</v>
      </c>
    </row>
    <row r="19" spans="1:9" x14ac:dyDescent="0.25">
      <c r="A19" s="27">
        <v>10</v>
      </c>
      <c r="B19" s="28">
        <f t="shared" si="3"/>
        <v>48000</v>
      </c>
      <c r="C19" s="29">
        <f t="shared" si="4"/>
        <v>36250</v>
      </c>
      <c r="D19" s="30">
        <f>B19*$B$8^A19</f>
        <v>18506.077892617515</v>
      </c>
      <c r="E19" s="31">
        <f t="shared" si="5"/>
        <v>230119.69739932774</v>
      </c>
      <c r="F19" s="31">
        <f>C19*$B$8^A19</f>
        <v>13975.944241820518</v>
      </c>
      <c r="G19" s="26">
        <f t="shared" si="0"/>
        <v>281143.75315750722</v>
      </c>
      <c r="H19" s="32">
        <f t="shared" si="1"/>
        <v>0.16274539488251155</v>
      </c>
      <c r="I19" s="26">
        <f t="shared" si="2"/>
        <v>45754.851126369867</v>
      </c>
    </row>
    <row r="20" spans="1:9" x14ac:dyDescent="0.25">
      <c r="A20" s="27">
        <v>11</v>
      </c>
      <c r="B20" s="28">
        <f t="shared" si="3"/>
        <v>50000</v>
      </c>
      <c r="C20" s="29">
        <f t="shared" si="4"/>
        <v>34500</v>
      </c>
      <c r="D20" s="30">
        <f>B20*$B$8^A20</f>
        <v>17524.694974069615</v>
      </c>
      <c r="E20" s="31">
        <f t="shared" si="5"/>
        <v>247644.39237339736</v>
      </c>
      <c r="F20" s="31">
        <f>C20*$B$8^A20</f>
        <v>12092.039532108034</v>
      </c>
      <c r="G20" s="26">
        <f t="shared" si="0"/>
        <v>300552.35284128931</v>
      </c>
      <c r="H20" s="32">
        <f t="shared" si="1"/>
        <v>0.15396314202461459</v>
      </c>
      <c r="I20" s="26">
        <f t="shared" si="2"/>
        <v>46273.9845863355</v>
      </c>
    </row>
    <row r="21" spans="1:9" x14ac:dyDescent="0.25">
      <c r="A21" s="27">
        <v>12</v>
      </c>
      <c r="B21" s="28">
        <f t="shared" si="3"/>
        <v>52000</v>
      </c>
      <c r="C21" s="29">
        <f t="shared" si="4"/>
        <v>32750</v>
      </c>
      <c r="D21" s="30">
        <f>B21*$B$8^A21</f>
        <v>16568.802520938545</v>
      </c>
      <c r="E21" s="31">
        <f t="shared" si="5"/>
        <v>264213.19489433593</v>
      </c>
      <c r="F21" s="31">
        <f>C21*$B$8^A21</f>
        <v>10435.159280014179</v>
      </c>
      <c r="G21" s="26">
        <f t="shared" si="0"/>
        <v>318778.03561432177</v>
      </c>
      <c r="H21" s="32">
        <f t="shared" si="1"/>
        <v>0.14676331510028726</v>
      </c>
      <c r="I21" s="26">
        <f t="shared" si="2"/>
        <v>46784.921287915298</v>
      </c>
    </row>
    <row r="22" spans="1:9" x14ac:dyDescent="0.25">
      <c r="A22" s="27">
        <v>13</v>
      </c>
      <c r="B22" s="28">
        <f t="shared" si="3"/>
        <v>54000</v>
      </c>
      <c r="C22" s="29">
        <f t="shared" si="4"/>
        <v>31000</v>
      </c>
      <c r="D22" s="30">
        <f>B22*$B$8^A22</f>
        <v>15641.876505781142</v>
      </c>
      <c r="E22" s="31">
        <f t="shared" si="5"/>
        <v>279855.07140011707</v>
      </c>
      <c r="F22" s="31">
        <f>C22*$B$8^A22</f>
        <v>8979.5957718373211</v>
      </c>
      <c r="G22" s="26">
        <f t="shared" si="0"/>
        <v>335875.47562827973</v>
      </c>
      <c r="H22" s="32">
        <f t="shared" si="1"/>
        <v>0.14077852376730216</v>
      </c>
      <c r="I22" s="26">
        <f t="shared" si="2"/>
        <v>47284.053628589696</v>
      </c>
    </row>
    <row r="23" spans="1:9" x14ac:dyDescent="0.25">
      <c r="A23" s="27">
        <v>14</v>
      </c>
      <c r="B23" s="28">
        <f t="shared" si="3"/>
        <v>56000</v>
      </c>
      <c r="C23" s="29">
        <f t="shared" si="4"/>
        <v>29250</v>
      </c>
      <c r="D23" s="30">
        <f>B23*$B$8^A23</f>
        <v>14746.550241140469</v>
      </c>
      <c r="E23" s="31">
        <f t="shared" si="5"/>
        <v>294601.62164125754</v>
      </c>
      <c r="F23" s="31">
        <f>C23*$B$8^A23</f>
        <v>7702.4391884528341</v>
      </c>
      <c r="G23" s="26">
        <f t="shared" si="0"/>
        <v>351899.1824528047</v>
      </c>
      <c r="H23" s="32">
        <f t="shared" si="1"/>
        <v>0.13574622323063668</v>
      </c>
      <c r="I23" s="26">
        <f t="shared" si="2"/>
        <v>47768.984975916974</v>
      </c>
    </row>
    <row r="24" spans="1:9" x14ac:dyDescent="0.25">
      <c r="A24" s="27">
        <v>15</v>
      </c>
      <c r="B24" s="28">
        <f t="shared" si="3"/>
        <v>58000</v>
      </c>
      <c r="C24" s="29">
        <f t="shared" si="4"/>
        <v>27500</v>
      </c>
      <c r="D24" s="30">
        <f>B24*$B$8^A24</f>
        <v>13884.73886341148</v>
      </c>
      <c r="E24" s="31">
        <f t="shared" si="5"/>
        <v>308486.36050466902</v>
      </c>
      <c r="F24" s="31">
        <f>C24*$B$8^A24</f>
        <v>6583.2813576519948</v>
      </c>
      <c r="G24" s="26">
        <f t="shared" si="0"/>
        <v>366903.07914701704</v>
      </c>
      <c r="H24" s="32">
        <f t="shared" si="1"/>
        <v>0.13147377688737219</v>
      </c>
      <c r="I24" s="26">
        <f t="shared" si="2"/>
        <v>48238.133567064775</v>
      </c>
    </row>
    <row r="25" spans="1:9" x14ac:dyDescent="0.25">
      <c r="A25" s="9">
        <v>16</v>
      </c>
      <c r="B25" s="15">
        <f t="shared" si="3"/>
        <v>60000</v>
      </c>
      <c r="C25" s="16">
        <f t="shared" si="4"/>
        <v>25750</v>
      </c>
      <c r="D25" s="17">
        <f>B25*$B$8^A25</f>
        <v>13057.748147408915</v>
      </c>
      <c r="E25" s="18">
        <f t="shared" si="5"/>
        <v>321544.10865207796</v>
      </c>
      <c r="F25" s="18">
        <f>C25*$B$8^A25</f>
        <v>5603.950246596326</v>
      </c>
      <c r="G25" s="26">
        <f t="shared" si="0"/>
        <v>380940.15840548166</v>
      </c>
      <c r="H25" s="11">
        <f t="shared" si="1"/>
        <v>0.12781662070326982</v>
      </c>
      <c r="I25" s="10">
        <f t="shared" si="2"/>
        <v>48690.483737556977</v>
      </c>
    </row>
    <row r="26" spans="1:9" x14ac:dyDescent="0.25">
      <c r="A26" s="9">
        <v>17</v>
      </c>
      <c r="B26" s="15">
        <f t="shared" si="3"/>
        <v>62000</v>
      </c>
      <c r="C26" s="16">
        <f t="shared" si="4"/>
        <v>24000</v>
      </c>
      <c r="D26" s="17">
        <f>B26*$B$8^A26</f>
        <v>12266.369471808375</v>
      </c>
      <c r="E26" s="18">
        <f t="shared" si="5"/>
        <v>333810.47812388634</v>
      </c>
      <c r="F26" s="18">
        <f>C26*$B$8^A26</f>
        <v>4748.2720536032421</v>
      </c>
      <c r="G26" s="26">
        <f t="shared" si="0"/>
        <v>394062.20607028308</v>
      </c>
      <c r="H26" s="11">
        <f t="shared" si="1"/>
        <v>0.12466413439263227</v>
      </c>
      <c r="I26" s="10">
        <f t="shared" si="2"/>
        <v>49125.423816602924</v>
      </c>
    </row>
    <row r="27" spans="1:9" x14ac:dyDescent="0.25">
      <c r="A27" s="9">
        <v>18</v>
      </c>
      <c r="B27" s="15">
        <f t="shared" si="3"/>
        <v>64000</v>
      </c>
      <c r="C27" s="16">
        <f t="shared" si="4"/>
        <v>22250</v>
      </c>
      <c r="D27" s="17">
        <f>B27*$B$8^A27</f>
        <v>11510.962554189677</v>
      </c>
      <c r="E27" s="18">
        <f t="shared" si="5"/>
        <v>345321.440678076</v>
      </c>
      <c r="F27" s="18">
        <f>C27*$B$8^A27</f>
        <v>4001.8580754800046</v>
      </c>
      <c r="G27" s="26">
        <f t="shared" si="0"/>
        <v>406319.58260259603</v>
      </c>
      <c r="H27" s="11">
        <f t="shared" si="1"/>
        <v>0.12193022222225659</v>
      </c>
      <c r="I27" s="10">
        <f t="shared" si="2"/>
        <v>49542.636999989074</v>
      </c>
    </row>
    <row r="28" spans="1:9" x14ac:dyDescent="0.25">
      <c r="A28" s="9">
        <v>19</v>
      </c>
      <c r="B28" s="15">
        <f t="shared" si="3"/>
        <v>66000</v>
      </c>
      <c r="C28" s="16">
        <f t="shared" si="4"/>
        <v>20500</v>
      </c>
      <c r="D28" s="17">
        <f>B28*$B$8^A28</f>
        <v>10791.527394552821</v>
      </c>
      <c r="E28" s="18">
        <f t="shared" si="5"/>
        <v>356112.96807262884</v>
      </c>
      <c r="F28" s="18">
        <f>C28*$B$8^A28</f>
        <v>3351.9138119444369</v>
      </c>
      <c r="G28" s="26">
        <f t="shared" si="0"/>
        <v>417761.05426068441</v>
      </c>
      <c r="H28" s="11">
        <f t="shared" si="1"/>
        <v>0.11954686823465582</v>
      </c>
      <c r="I28" s="10">
        <f t="shared" si="2"/>
        <v>49942.025707272944</v>
      </c>
    </row>
    <row r="29" spans="1:9" x14ac:dyDescent="0.25">
      <c r="A29" s="9">
        <v>20</v>
      </c>
      <c r="B29" s="15">
        <f t="shared" si="3"/>
        <v>68000</v>
      </c>
      <c r="C29" s="16">
        <f t="shared" si="4"/>
        <v>18750</v>
      </c>
      <c r="D29" s="17">
        <f>B29*$B$8^A29</f>
        <v>10107.766705641759</v>
      </c>
      <c r="E29" s="18">
        <f t="shared" si="5"/>
        <v>366220.73477827059</v>
      </c>
      <c r="F29" s="18">
        <f>C29*$B$8^A29</f>
        <v>2787.068025452691</v>
      </c>
      <c r="G29" s="26">
        <f t="shared" si="0"/>
        <v>428433.66675281792</v>
      </c>
      <c r="H29" s="11">
        <f t="shared" si="1"/>
        <v>0.11745962477254576</v>
      </c>
      <c r="I29" s="10">
        <f t="shared" si="2"/>
        <v>50323.65773671191</v>
      </c>
    </row>
    <row r="30" spans="1:9" x14ac:dyDescent="0.25">
      <c r="D30" s="2"/>
      <c r="E30" s="5"/>
      <c r="F30" s="5"/>
      <c r="G30" s="5"/>
      <c r="H30" s="12"/>
      <c r="I30" s="5">
        <f>+MIN(I10:I29)</f>
        <v>43194.677871148437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Mireya</dc:creator>
  <cp:lastModifiedBy>Mireya</cp:lastModifiedBy>
  <dcterms:created xsi:type="dcterms:W3CDTF">2023-03-31T03:31:30Z</dcterms:created>
  <dcterms:modified xsi:type="dcterms:W3CDTF">2023-04-15T03:27:32Z</dcterms:modified>
</cp:coreProperties>
</file>