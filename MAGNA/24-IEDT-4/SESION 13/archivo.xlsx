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AcpnBPfQSTeLKGU5Qwvlt36NwrOX1ZDB\5 ANGIOGRAFOS\PRE EXPEDIENTE\5ANGIOS-ALMINTER\IIEE\MEMORIAS\V5\"/>
    </mc:Choice>
  </mc:AlternateContent>
  <xr:revisionPtr revIDLastSave="0" documentId="13_ncr:1_{8A6CEC14-E882-449C-AD87-7279599609A1}" xr6:coauthVersionLast="47" xr6:coauthVersionMax="47" xr10:uidLastSave="{00000000-0000-0000-0000-000000000000}"/>
  <bookViews>
    <workbookView xWindow="-108" yWindow="-108" windowWidth="23256" windowHeight="12576" activeTab="1" xr2:uid="{0A0A2358-7F7C-42E9-A688-D1E25DE7A0B9}"/>
  </bookViews>
  <sheets>
    <sheet name="CUADRO DE CARGAS" sheetId="8" r:id="rId1"/>
    <sheet name="CUADRO DE CAIDA DE TENSION" sheetId="7" r:id="rId2"/>
  </sheets>
  <definedNames>
    <definedName name="_xlnm.Print_Area" localSheetId="0">'CUADRO DE CARGAS'!$A$1:$I$53</definedName>
    <definedName name="Print_Area" localSheetId="1">'CUADRO DE CAIDA DE TENSION'!$A$1:$Y$45</definedName>
    <definedName name="Print_Area" localSheetId="0">'CUADRO DE CARGAS'!$B$2:$I$53</definedName>
    <definedName name="TF_AA_MRI">'CUADRO DE CARGAS'!$I$40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8" l="1"/>
  <c r="I16" i="8"/>
  <c r="F33" i="7"/>
  <c r="L33" i="7" s="1"/>
  <c r="K28" i="8"/>
  <c r="L28" i="8" s="1"/>
  <c r="K26" i="8"/>
  <c r="L26" i="8" s="1"/>
  <c r="K12" i="8"/>
  <c r="M16" i="8"/>
  <c r="G12" i="8"/>
  <c r="G10" i="8"/>
  <c r="G8" i="8"/>
  <c r="G49" i="8"/>
  <c r="I35" i="8"/>
  <c r="I24" i="8"/>
  <c r="K24" i="8"/>
  <c r="L24" i="8" s="1"/>
  <c r="I25" i="8"/>
  <c r="K25" i="8"/>
  <c r="L25" i="8" s="1"/>
  <c r="E16" i="7"/>
  <c r="F11" i="7"/>
  <c r="L11" i="7" s="1"/>
  <c r="F10" i="7"/>
  <c r="H10" i="7" s="1"/>
  <c r="F9" i="7"/>
  <c r="L9" i="7" s="1"/>
  <c r="F8" i="7"/>
  <c r="H8" i="7" s="1"/>
  <c r="F7" i="7"/>
  <c r="H7" i="7" s="1"/>
  <c r="F6" i="7"/>
  <c r="H6" i="7" s="1"/>
  <c r="F5" i="7"/>
  <c r="H5" i="7" s="1"/>
  <c r="M33" i="7" l="1"/>
  <c r="H33" i="7"/>
  <c r="L5" i="7"/>
  <c r="M5" i="7" s="1"/>
  <c r="L6" i="7"/>
  <c r="X6" i="7" s="1"/>
  <c r="Y6" i="7" s="1"/>
  <c r="L10" i="7"/>
  <c r="X10" i="7" s="1"/>
  <c r="W11" i="7" s="1"/>
  <c r="X11" i="7" s="1"/>
  <c r="Y11" i="7" s="1"/>
  <c r="M9" i="7"/>
  <c r="X9" i="7"/>
  <c r="Y9" i="7" s="1"/>
  <c r="M11" i="7"/>
  <c r="L7" i="7"/>
  <c r="H11" i="7"/>
  <c r="L8" i="7"/>
  <c r="H9" i="7"/>
  <c r="M10" i="7" l="1"/>
  <c r="X5" i="7"/>
  <c r="Y5" i="7" s="1"/>
  <c r="Y10" i="7"/>
  <c r="M6" i="7"/>
  <c r="M7" i="7"/>
  <c r="X7" i="7"/>
  <c r="Y7" i="7" s="1"/>
  <c r="M8" i="7"/>
  <c r="X8" i="7"/>
  <c r="Y8" i="7" s="1"/>
  <c r="I32" i="8" l="1"/>
  <c r="I31" i="8"/>
  <c r="F30" i="7"/>
  <c r="L30" i="7" s="1"/>
  <c r="F29" i="7"/>
  <c r="H29" i="7" s="1"/>
  <c r="I26" i="8"/>
  <c r="F22" i="7"/>
  <c r="H22" i="7" s="1"/>
  <c r="F24" i="7"/>
  <c r="H24" i="7" s="1"/>
  <c r="F23" i="7"/>
  <c r="H23" i="7" s="1"/>
  <c r="F34" i="7"/>
  <c r="L34" i="7" s="1"/>
  <c r="F32" i="7"/>
  <c r="L32" i="7" s="1"/>
  <c r="I30" i="8"/>
  <c r="I28" i="8"/>
  <c r="F25" i="7"/>
  <c r="F41" i="7"/>
  <c r="G13" i="8"/>
  <c r="I13" i="8" s="1"/>
  <c r="F45" i="7"/>
  <c r="L45" i="7" s="1"/>
  <c r="M32" i="7" l="1"/>
  <c r="M34" i="7"/>
  <c r="M30" i="7"/>
  <c r="L29" i="7"/>
  <c r="H30" i="7"/>
  <c r="L22" i="7"/>
  <c r="L24" i="7"/>
  <c r="H32" i="7"/>
  <c r="H34" i="7"/>
  <c r="L23" i="7"/>
  <c r="M45" i="7"/>
  <c r="H45" i="7"/>
  <c r="M29" i="7" l="1"/>
  <c r="M22" i="7"/>
  <c r="M24" i="7"/>
  <c r="M23" i="7"/>
  <c r="I12" i="8"/>
  <c r="G11" i="8"/>
  <c r="I11" i="8" s="1"/>
  <c r="L40" i="8" l="1"/>
  <c r="L41" i="8" s="1"/>
  <c r="K38" i="8"/>
  <c r="L38" i="8" s="1"/>
  <c r="I38" i="8"/>
  <c r="K36" i="8"/>
  <c r="L36" i="8" s="1"/>
  <c r="I36" i="8"/>
  <c r="K34" i="8"/>
  <c r="L34" i="8" s="1"/>
  <c r="I34" i="8"/>
  <c r="K33" i="8"/>
  <c r="L33" i="8" s="1"/>
  <c r="I33" i="8"/>
  <c r="K29" i="8"/>
  <c r="L29" i="8" s="1"/>
  <c r="I29" i="8"/>
  <c r="K27" i="8"/>
  <c r="L27" i="8" s="1"/>
  <c r="K23" i="8"/>
  <c r="L23" i="8" s="1"/>
  <c r="I23" i="8"/>
  <c r="K13" i="8"/>
  <c r="L13" i="8" s="1"/>
  <c r="K11" i="8"/>
  <c r="L11" i="8" s="1"/>
  <c r="K10" i="8"/>
  <c r="L10" i="8" s="1"/>
  <c r="K8" i="8"/>
  <c r="L8" i="8" s="1"/>
  <c r="I49" i="8" l="1"/>
  <c r="G15" i="8"/>
  <c r="I8" i="8"/>
  <c r="K14" i="8"/>
  <c r="L14" i="8" s="1"/>
  <c r="I10" i="8"/>
  <c r="G39" i="8" l="1"/>
  <c r="G50" i="8" s="1"/>
  <c r="K16" i="8" l="1"/>
  <c r="I40" i="8"/>
  <c r="I51" i="8"/>
  <c r="F42" i="7" l="1"/>
  <c r="F43" i="7"/>
  <c r="F44" i="7"/>
  <c r="L42" i="7" l="1"/>
  <c r="M42" i="7" s="1"/>
  <c r="E40" i="7"/>
  <c r="F40" i="7" s="1"/>
  <c r="F16" i="7" s="1"/>
  <c r="H41" i="7"/>
  <c r="L41" i="7"/>
  <c r="M41" i="7" s="1"/>
  <c r="H43" i="7"/>
  <c r="L43" i="7"/>
  <c r="H44" i="7"/>
  <c r="L44" i="7"/>
  <c r="H42" i="7"/>
  <c r="L16" i="7" l="1"/>
  <c r="H16" i="7"/>
  <c r="L40" i="7"/>
  <c r="H40" i="7"/>
  <c r="M43" i="7"/>
  <c r="M44" i="7"/>
  <c r="X16" i="7" l="1"/>
  <c r="W33" i="7" s="1"/>
  <c r="X33" i="7" s="1"/>
  <c r="Y33" i="7" s="1"/>
  <c r="M16" i="7"/>
  <c r="X40" i="7"/>
  <c r="M40" i="7"/>
  <c r="F35" i="7"/>
  <c r="W44" i="7" l="1"/>
  <c r="W45" i="7"/>
  <c r="W41" i="7"/>
  <c r="W42" i="7"/>
  <c r="W43" i="7"/>
  <c r="Y16" i="7"/>
  <c r="W22" i="7"/>
  <c r="X22" i="7" s="1"/>
  <c r="Y22" i="7" s="1"/>
  <c r="W26" i="7"/>
  <c r="W23" i="7"/>
  <c r="X23" i="7" s="1"/>
  <c r="Y23" i="7" s="1"/>
  <c r="W30" i="7"/>
  <c r="X30" i="7" s="1"/>
  <c r="Y30" i="7" s="1"/>
  <c r="W27" i="7"/>
  <c r="W35" i="7"/>
  <c r="W25" i="7"/>
  <c r="W31" i="7"/>
  <c r="W24" i="7"/>
  <c r="X24" i="7" s="1"/>
  <c r="Y24" i="7" s="1"/>
  <c r="W28" i="7"/>
  <c r="W21" i="7"/>
  <c r="W29" i="7"/>
  <c r="X29" i="7" s="1"/>
  <c r="Y29" i="7" s="1"/>
  <c r="W32" i="7"/>
  <c r="X32" i="7" s="1"/>
  <c r="Y32" i="7" s="1"/>
  <c r="W34" i="7"/>
  <c r="X34" i="7" s="1"/>
  <c r="Y34" i="7" s="1"/>
  <c r="Y40" i="7"/>
  <c r="H35" i="7"/>
  <c r="L35" i="7"/>
  <c r="F31" i="7"/>
  <c r="F21" i="7"/>
  <c r="F28" i="7"/>
  <c r="F27" i="7"/>
  <c r="F26" i="7"/>
  <c r="L25" i="7"/>
  <c r="X35" i="7" l="1"/>
  <c r="Y35" i="7" s="1"/>
  <c r="X25" i="7"/>
  <c r="Y25" i="7" s="1"/>
  <c r="L26" i="7"/>
  <c r="L27" i="7"/>
  <c r="X27" i="7" s="1"/>
  <c r="Y27" i="7" s="1"/>
  <c r="L21" i="7"/>
  <c r="M21" i="7" s="1"/>
  <c r="L28" i="7"/>
  <c r="X28" i="7" s="1"/>
  <c r="Y28" i="7" s="1"/>
  <c r="L31" i="7"/>
  <c r="X31" i="7" s="1"/>
  <c r="Y31" i="7" s="1"/>
  <c r="H25" i="7"/>
  <c r="M35" i="7"/>
  <c r="H26" i="7"/>
  <c r="H31" i="7"/>
  <c r="H21" i="7"/>
  <c r="H27" i="7"/>
  <c r="H28" i="7"/>
  <c r="M26" i="7" l="1"/>
  <c r="X26" i="7"/>
  <c r="Y26" i="7" s="1"/>
  <c r="M27" i="7"/>
  <c r="M31" i="7"/>
  <c r="M28" i="7"/>
  <c r="M25" i="7"/>
  <c r="X44" i="7" l="1"/>
  <c r="Y44" i="7" s="1"/>
  <c r="X21" i="7"/>
  <c r="Y21" i="7" s="1"/>
  <c r="X41" i="7" l="1"/>
  <c r="Y41" i="7" s="1"/>
  <c r="X45" i="7"/>
  <c r="Y45" i="7" s="1"/>
  <c r="X43" i="7"/>
  <c r="Y43" i="7" s="1"/>
  <c r="X42" i="7"/>
  <c r="Y42" i="7" s="1"/>
</calcChain>
</file>

<file path=xl/sharedStrings.xml><?xml version="1.0" encoding="utf-8"?>
<sst xmlns="http://schemas.openxmlformats.org/spreadsheetml/2006/main" count="393" uniqueCount="152">
  <si>
    <t>CIRCUITO</t>
  </si>
  <si>
    <t>DESCRIPCION DEL CIRCUITO</t>
  </si>
  <si>
    <t>CANTIDAD</t>
  </si>
  <si>
    <t>POT.UNIT (W)</t>
  </si>
  <si>
    <t>POT.INST (W)</t>
  </si>
  <si>
    <t>F.D</t>
  </si>
  <si>
    <t>MAX DEMANDA (W)</t>
  </si>
  <si>
    <t>TENSION (V)</t>
  </si>
  <si>
    <t>FASES</t>
  </si>
  <si>
    <t>In TOTAL</t>
  </si>
  <si>
    <t>Id(A) 1.25xIn</t>
  </si>
  <si>
    <t>INT.</t>
  </si>
  <si>
    <t>F (mm2)</t>
  </si>
  <si>
    <t>N(mm2)</t>
  </si>
  <si>
    <t>T (mm2)</t>
  </si>
  <si>
    <t>TIPO</t>
  </si>
  <si>
    <t>CANALIZACION</t>
  </si>
  <si>
    <t>DIAMETRO</t>
  </si>
  <si>
    <t>N°TERNAS</t>
  </si>
  <si>
    <t>LONG (m)</t>
  </si>
  <si>
    <t>∆V (V)</t>
  </si>
  <si>
    <t>%∆V (V)</t>
  </si>
  <si>
    <t>2X20A</t>
  </si>
  <si>
    <t>20mmØ</t>
  </si>
  <si>
    <t>N2XOH</t>
  </si>
  <si>
    <t>EMT</t>
  </si>
  <si>
    <t>AMBIENTE</t>
  </si>
  <si>
    <t>CONDUCTOR CALIBRES</t>
  </si>
  <si>
    <t>Tablero de alternancia</t>
  </si>
  <si>
    <t>Tomacorriente mantenimiento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</si>
  <si>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</si>
  <si>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</si>
  <si>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</si>
  <si>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</si>
  <si>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</si>
  <si>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</si>
  <si>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</si>
  <si>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</si>
  <si>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</si>
  <si>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</si>
  <si>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3X50A</t>
  </si>
  <si>
    <t>3X32A</t>
  </si>
  <si>
    <t>25mmØ</t>
  </si>
  <si>
    <t>3x175-250A</t>
  </si>
  <si>
    <t>CÁLCULO DE CAIDA DE TENSIÓN</t>
  </si>
  <si>
    <t>cosØ</t>
  </si>
  <si>
    <t>∆V (V) ACUMULADO</t>
  </si>
  <si>
    <t>ITEM</t>
  </si>
  <si>
    <t>Descripción</t>
  </si>
  <si>
    <t>Área (m2)</t>
  </si>
  <si>
    <t>W/m2</t>
  </si>
  <si>
    <t>C.I (KW)</t>
  </si>
  <si>
    <t>FD (%)</t>
  </si>
  <si>
    <t>MD (KW)</t>
  </si>
  <si>
    <t>AMBIENTES</t>
  </si>
  <si>
    <t>CARGA DE CIRCUITO DE ALUMBRADO</t>
  </si>
  <si>
    <t>2x16A</t>
  </si>
  <si>
    <t>CARGAS DE CIRCUITOS DE TOMACORRIENTES</t>
  </si>
  <si>
    <t>2x20A</t>
  </si>
  <si>
    <t>Carga instalada (CI)</t>
  </si>
  <si>
    <t>Maxima Demanda (MD)</t>
  </si>
  <si>
    <t>kVA</t>
  </si>
  <si>
    <t>AIRES ACONDICIONADOS</t>
  </si>
  <si>
    <t>3x32A</t>
  </si>
  <si>
    <t>CAA-1</t>
  </si>
  <si>
    <t>3x25A</t>
  </si>
  <si>
    <t>CAA-8</t>
  </si>
  <si>
    <t>CAA-2</t>
  </si>
  <si>
    <t>CAA-3</t>
  </si>
  <si>
    <t>2x32A</t>
  </si>
  <si>
    <t>CAA-4</t>
  </si>
  <si>
    <t>CAA-12</t>
  </si>
  <si>
    <t>CAA-13</t>
  </si>
  <si>
    <t>CAA-15</t>
  </si>
  <si>
    <t>CAA-14</t>
  </si>
  <si>
    <t>3X250A</t>
  </si>
  <si>
    <t>CX2</t>
  </si>
  <si>
    <t>CX1</t>
  </si>
  <si>
    <t>Circuito C-1 12 Und x 36W</t>
  </si>
  <si>
    <t>Circuito C-2  04 Und x 500W-Sala de comando</t>
  </si>
  <si>
    <t>Circuito C-3  07 Und x 500W-Sala comando y Sala tec.</t>
  </si>
  <si>
    <t>In(A) TOTAL</t>
  </si>
  <si>
    <t>2X16A</t>
  </si>
  <si>
    <t>2X25A</t>
  </si>
  <si>
    <t>Circuito C-4  7 Und x 350W-Sala Exámenes</t>
  </si>
  <si>
    <t>Circuito C-5  7 Und x 350W-Sala Exámenes</t>
  </si>
  <si>
    <t>80mmØ</t>
  </si>
  <si>
    <t>CARGAS DE CIRCUITOS HVAC</t>
  </si>
  <si>
    <t>CARGAA DE CIRCUITO DE TOMACORRIENTE</t>
  </si>
  <si>
    <t>DEL TABLERO SUBESTACIÓN AL TF-AA-ANGIO</t>
  </si>
  <si>
    <t>ANGIO</t>
  </si>
  <si>
    <t>Sala de exámenes</t>
  </si>
  <si>
    <t>Sala de comando</t>
  </si>
  <si>
    <t>Sala técnica</t>
  </si>
  <si>
    <t>C11</t>
  </si>
  <si>
    <t>C12</t>
  </si>
  <si>
    <t>CARGA DE EQUIPO DE ANGIOGRAFÍA</t>
  </si>
  <si>
    <t>CUADRO DE CARGAS DE PROYECTO "ANGIOGRAFO CARDIOVASCULAR DE TECHO INTERVENCIONISTA, 
PARA EL HOSPITAL NACIONAL GUILLERMO ALMENARA IRIGOYEN"</t>
  </si>
  <si>
    <t>LSOH</t>
  </si>
  <si>
    <t>C13</t>
  </si>
  <si>
    <t>C14</t>
  </si>
  <si>
    <t>Alimentador principal</t>
  </si>
  <si>
    <t>CUADRO DE CARGAS TABLERO AIRE ACONDICIONADO  DE 230V (TF-AA-ANGIO)</t>
  </si>
  <si>
    <t>CUADRO DE CARGAS TABLERO DE 230V (TD-1-ANGIO)</t>
  </si>
  <si>
    <t>CUADRO DE CAIDA DE TENSIÓN TABLERO AIRE ACONDICIONADO  DE 230V (TF-AA-ANGIO)</t>
  </si>
  <si>
    <t>CUADRO DE CAIDA DE TENSIÓN TABLERO AIRE ACONDICIONADO  DE 230V ALIMENTADOR (TF-AA-ANGIO)</t>
  </si>
  <si>
    <t>CUADRO DE CAIDA DE TENSIÓN TABLERO DE 230V (TD-1-ANGIO)</t>
  </si>
  <si>
    <t>PRIMARIA</t>
  </si>
  <si>
    <t>SECUNDARIA</t>
  </si>
  <si>
    <t>DEL TABLERO SECUNDARIO AL TABLERO BYPASS</t>
  </si>
  <si>
    <t>DEL TABLERO BYPASS AL ESTABILIZADOR</t>
  </si>
  <si>
    <t>DEL ESTABILIZADOR AL TABLERO BYPASS</t>
  </si>
  <si>
    <t>DEL TRAFO 440V/440V AL TABLERO SECUNDARIO</t>
  </si>
  <si>
    <t>DEL TRAFO 440V/440V AL TD-ANGIO</t>
  </si>
  <si>
    <t>DEL TABLERO SUBESTACIÓN  AL TRAFO 440V/440V</t>
  </si>
  <si>
    <t>DEL TABLERO PRIMARIO AL TRAFO 440/440V</t>
  </si>
  <si>
    <t>CUADRO DE CAIDA DE TENSIÓN TABLERO DE 440V (TG-ANGIO)</t>
  </si>
  <si>
    <t>CUADRO DE CARGAS TABLERO ANGIOGRAFIA DE 440V (TG-Existente Hospital)</t>
  </si>
  <si>
    <t>Equipo RE-2</t>
  </si>
  <si>
    <t>Equipo de aire acondicionado UC-04</t>
  </si>
  <si>
    <t>1.10</t>
  </si>
  <si>
    <t>Equipo RE-3</t>
  </si>
  <si>
    <t>Equipo de aire acondicionado UC-05</t>
  </si>
  <si>
    <t>Equipo RE-4</t>
  </si>
  <si>
    <t>Equipo B-1</t>
  </si>
  <si>
    <t>Equipo EC-01</t>
  </si>
  <si>
    <t>Equipo B-2</t>
  </si>
  <si>
    <t>Equipo EC-02</t>
  </si>
  <si>
    <t>Equipo de Angiografía 170KVA</t>
  </si>
  <si>
    <t>Circuito C-1 16 Und x 36W</t>
  </si>
  <si>
    <t>Circuito C-2  07 Und x 500W-Sala de comando</t>
  </si>
  <si>
    <t>Circuito C-4  4 Und x 350W-Sala Exámenes</t>
  </si>
  <si>
    <t>3X40A</t>
  </si>
  <si>
    <t>100mmØ</t>
  </si>
  <si>
    <t>C15</t>
  </si>
  <si>
    <t>2X32A</t>
  </si>
  <si>
    <t>3X25A</t>
  </si>
  <si>
    <t>3X15A</t>
  </si>
  <si>
    <t>2X15A</t>
  </si>
  <si>
    <t>35mmØ</t>
  </si>
  <si>
    <t>3x160-400A</t>
  </si>
  <si>
    <t>4x160-400A</t>
  </si>
  <si>
    <t>Unidad condensadora 01</t>
  </si>
  <si>
    <t>Uma 01</t>
  </si>
  <si>
    <t>Unidad condensadora 02</t>
  </si>
  <si>
    <t>Uma02</t>
  </si>
  <si>
    <t>reserva equipada</t>
  </si>
  <si>
    <t>uc1</t>
  </si>
  <si>
    <t>UMA1</t>
  </si>
  <si>
    <t>UC2</t>
  </si>
  <si>
    <t>UMA2</t>
  </si>
  <si>
    <t>2X50A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</si>
</sst>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0.00;[Red]0.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3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2">
    <xf numFmtId="0" fontId="0" fillId="0" borderId="0" xfId="0"/>
    <xf numFmtId="44" fontId="0" fillId="0" borderId="0" xfId="0" applyNumberFormat="1"/>
    <xf numFmtId="2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8" borderId="0" xfId="0" applyFont="1" applyFill="1"/>
    <xf numFmtId="0" fontId="11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2" fontId="11" fillId="0" borderId="1" xfId="0" applyNumberFormat="1" applyFont="1" applyBorder="1" applyAlignment="1">
      <alignment horizontal="center" vertical="center"/>
    </xf>
    <xf numFmtId="0" fontId="3" fillId="9" borderId="0" xfId="0" applyFont="1" applyFill="1"/>
    <xf numFmtId="0" fontId="0" fillId="8" borderId="0" xfId="0" applyFill="1"/>
    <xf numFmtId="4" fontId="0" fillId="0" borderId="1" xfId="0" applyNumberForma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0" fontId="12" fillId="9" borderId="0" xfId="0" applyFont="1" applyFill="1"/>
    <xf numFmtId="0" fontId="13" fillId="10" borderId="0" xfId="0" applyFont="1" applyFill="1"/>
    <xf numFmtId="165" fontId="10" fillId="0" borderId="1" xfId="0" applyNumberFormat="1" applyFont="1" applyBorder="1"/>
    <xf numFmtId="2" fontId="5" fillId="2" borderId="1" xfId="0" applyNumberFormat="1" applyFont="1" applyFill="1" applyBorder="1" applyAlignment="1">
      <alignment horizontal="center" vertical="center"/>
    </xf>
    <xf numFmtId="0" fontId="5" fillId="7" borderId="6" xfId="0" applyFont="1" applyFill="1" applyBorder="1"/>
    <xf numFmtId="0" fontId="5" fillId="5" borderId="1" xfId="0" applyFont="1" applyFill="1" applyBorder="1"/>
    <xf numFmtId="0" fontId="5" fillId="10" borderId="1" xfId="0" applyFont="1" applyFill="1" applyBorder="1"/>
    <xf numFmtId="0" fontId="10" fillId="7" borderId="1" xfId="0" applyFont="1" applyFill="1" applyBorder="1"/>
    <xf numFmtId="164" fontId="10" fillId="7" borderId="1" xfId="0" applyNumberFormat="1" applyFont="1" applyFill="1" applyBorder="1" applyAlignment="1">
      <alignment horizontal="center"/>
    </xf>
    <xf numFmtId="9" fontId="10" fillId="7" borderId="1" xfId="1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164" fontId="10" fillId="5" borderId="1" xfId="0" applyNumberFormat="1" applyFont="1" applyFill="1" applyBorder="1" applyAlignment="1">
      <alignment horizontal="center"/>
    </xf>
    <xf numFmtId="9" fontId="10" fillId="5" borderId="1" xfId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/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0" fontId="5" fillId="11" borderId="6" xfId="0" applyFont="1" applyFill="1" applyBorder="1"/>
    <xf numFmtId="0" fontId="5" fillId="12" borderId="6" xfId="0" applyFont="1" applyFill="1" applyBorder="1"/>
    <xf numFmtId="0" fontId="1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164" fontId="16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10" fillId="8" borderId="1" xfId="0" quotePrefix="1" applyFont="1" applyFill="1" applyBorder="1" applyAlignment="1">
      <alignment horizontal="right"/>
    </xf>
    <xf numFmtId="0" fontId="10" fillId="8" borderId="1" xfId="0" applyFont="1" applyFill="1" applyBorder="1"/>
    <xf numFmtId="4" fontId="0" fillId="8" borderId="1" xfId="0" applyNumberFormat="1" applyFill="1" applyBorder="1" applyAlignment="1">
      <alignment horizontal="center" vertical="center"/>
    </xf>
    <xf numFmtId="9" fontId="10" fillId="8" borderId="1" xfId="1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16" fillId="8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4" fontId="5" fillId="8" borderId="1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2" fontId="5" fillId="8" borderId="6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/>
    <xf numFmtId="0" fontId="16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  <xf numFmtId="0" fontId="0" fillId="4" borderId="0" xfId="0" applyFill="1"/>
    <xf numFmtId="0" fontId="10" fillId="0" borderId="1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wrapText="1"/>
    </xf>
    <xf numFmtId="0" fontId="9" fillId="7" borderId="23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25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FFD0-F664-433D-905C-4D19B6583908}">
  <dimension ref="B2:N53"/>
  <sheetViews>
    <sheetView view="pageBreakPreview" topLeftCell="A21" zoomScaleNormal="100" zoomScaleSheetLayoutView="100" workbookViewId="0">
      <selection activeCell="A36" sqref="A36:XFD36"/>
    </sheetView>
  </sheetViews>
  <sheetFormatPr baseColWidth="10" defaultRowHeight="14.4" x14ac:dyDescent="0.3"/>
  <cols>
    <col min="1" max="1" width="3.5546875" customWidth="1"/>
    <col min="4" max="4" width="43.6640625" customWidth="1"/>
    <col min="7" max="7" width="11.6640625" bestFit="1" customWidth="1"/>
    <col min="10" max="10" width="4.6640625" customWidth="1"/>
    <col min="11" max="12" width="13" customWidth="1"/>
  </cols>
  <sheetData>
    <row r="2" spans="2:14" ht="59.25" customHeight="1" x14ac:dyDescent="0.3">
      <c r="B2" s="103" t="s">
        <v>97</v>
      </c>
      <c r="C2" s="103"/>
      <c r="D2" s="103"/>
      <c r="E2" s="103"/>
      <c r="F2" s="103"/>
      <c r="G2" s="103"/>
      <c r="H2" s="103"/>
      <c r="I2" s="103"/>
    </row>
    <row r="4" spans="2:14" x14ac:dyDescent="0.3">
      <c r="B4" s="104" t="s">
        <v>103</v>
      </c>
      <c r="C4" s="105"/>
      <c r="D4" s="105"/>
      <c r="E4" s="105"/>
      <c r="F4" s="105"/>
      <c r="G4" s="105"/>
      <c r="H4" s="105"/>
      <c r="I4" s="106"/>
    </row>
    <row r="5" spans="2:14" x14ac:dyDescent="0.3">
      <c r="B5" s="31" t="s">
        <v>15</v>
      </c>
      <c r="C5" s="31" t="s">
        <v>47</v>
      </c>
      <c r="D5" s="32" t="s">
        <v>48</v>
      </c>
      <c r="E5" s="31" t="s">
        <v>49</v>
      </c>
      <c r="F5" s="31" t="s">
        <v>50</v>
      </c>
      <c r="G5" s="31" t="s">
        <v>51</v>
      </c>
      <c r="H5" s="31" t="s">
        <v>52</v>
      </c>
      <c r="I5" s="31" t="s">
        <v>53</v>
      </c>
    </row>
    <row r="6" spans="2:14" x14ac:dyDescent="0.3">
      <c r="B6" s="33"/>
      <c r="C6" s="33"/>
      <c r="D6" s="33"/>
      <c r="E6" s="33"/>
      <c r="F6" s="33"/>
      <c r="G6" s="33"/>
      <c r="H6" s="33"/>
      <c r="I6" s="33"/>
    </row>
    <row r="7" spans="2:14" x14ac:dyDescent="0.3">
      <c r="B7" s="102" t="s">
        <v>54</v>
      </c>
      <c r="C7" s="34">
        <v>1</v>
      </c>
      <c r="D7" s="34" t="s">
        <v>55</v>
      </c>
      <c r="E7" s="32"/>
      <c r="F7" s="32"/>
      <c r="G7" s="32"/>
      <c r="H7" s="32"/>
      <c r="I7" s="32"/>
    </row>
    <row r="8" spans="2:14" x14ac:dyDescent="0.3">
      <c r="B8" s="102"/>
      <c r="C8" s="32">
        <v>1.1000000000000001</v>
      </c>
      <c r="D8" s="32" t="s">
        <v>129</v>
      </c>
      <c r="E8" s="32"/>
      <c r="F8" s="32"/>
      <c r="G8" s="35">
        <f>(16*36)/1000</f>
        <v>0.57599999999999996</v>
      </c>
      <c r="H8" s="36">
        <v>0.8</v>
      </c>
      <c r="I8" s="35">
        <f>G8*H8</f>
        <v>0.46079999999999999</v>
      </c>
      <c r="K8">
        <f>G8/0.8/0.22</f>
        <v>3.272727272727272</v>
      </c>
      <c r="L8">
        <f>K8*1.25</f>
        <v>4.0909090909090899</v>
      </c>
      <c r="M8" t="s">
        <v>56</v>
      </c>
    </row>
    <row r="9" spans="2:14" x14ac:dyDescent="0.3">
      <c r="B9" s="102"/>
      <c r="C9" s="34">
        <v>2</v>
      </c>
      <c r="D9" s="34" t="s">
        <v>57</v>
      </c>
      <c r="E9" s="32"/>
      <c r="F9" s="32"/>
      <c r="G9" s="37"/>
      <c r="H9" s="32"/>
      <c r="I9" s="38"/>
    </row>
    <row r="10" spans="2:14" x14ac:dyDescent="0.3">
      <c r="B10" s="102"/>
      <c r="C10" s="32">
        <v>2.1</v>
      </c>
      <c r="D10" s="32" t="s">
        <v>130</v>
      </c>
      <c r="E10" s="32"/>
      <c r="F10" s="32"/>
      <c r="G10" s="37">
        <f>7*500/1000</f>
        <v>3.5</v>
      </c>
      <c r="H10" s="36">
        <v>1</v>
      </c>
      <c r="I10" s="39">
        <f t="shared" ref="I10" si="0">G10*H10</f>
        <v>3.5</v>
      </c>
      <c r="K10">
        <f t="shared" ref="K10:K12" si="1">G10/0.8/0.22</f>
        <v>19.886363636363637</v>
      </c>
      <c r="L10">
        <f t="shared" ref="L10:L14" si="2">K10*1.25</f>
        <v>24.857954545454547</v>
      </c>
      <c r="M10" t="s">
        <v>58</v>
      </c>
    </row>
    <row r="11" spans="2:14" x14ac:dyDescent="0.3">
      <c r="B11" s="102"/>
      <c r="C11" s="32">
        <v>2.2000000000000002</v>
      </c>
      <c r="D11" s="32" t="s">
        <v>80</v>
      </c>
      <c r="E11" s="32"/>
      <c r="F11" s="32"/>
      <c r="G11" s="37">
        <f>7*500/1000</f>
        <v>3.5</v>
      </c>
      <c r="H11" s="36">
        <v>0.8</v>
      </c>
      <c r="I11" s="39">
        <f t="shared" ref="I11" si="3">G11*H11</f>
        <v>2.8000000000000003</v>
      </c>
      <c r="K11">
        <f t="shared" si="1"/>
        <v>19.886363636363637</v>
      </c>
      <c r="L11">
        <f t="shared" si="2"/>
        <v>24.857954545454547</v>
      </c>
      <c r="M11" t="s">
        <v>58</v>
      </c>
    </row>
    <row r="12" spans="2:14" x14ac:dyDescent="0.3">
      <c r="B12" s="102"/>
      <c r="C12" s="32">
        <v>2.2999999999999998</v>
      </c>
      <c r="D12" s="32" t="s">
        <v>131</v>
      </c>
      <c r="E12" s="32"/>
      <c r="F12" s="32"/>
      <c r="G12" s="37">
        <f>4*350/1000</f>
        <v>1.4</v>
      </c>
      <c r="H12" s="36">
        <v>0.8</v>
      </c>
      <c r="I12" s="39">
        <f t="shared" ref="I12" si="4">G12*H12</f>
        <v>1.1199999999999999</v>
      </c>
      <c r="K12">
        <f t="shared" si="1"/>
        <v>7.9545454545454533</v>
      </c>
      <c r="M12" t="s">
        <v>56</v>
      </c>
    </row>
    <row r="13" spans="2:14" x14ac:dyDescent="0.3">
      <c r="B13" s="102"/>
      <c r="C13" s="32">
        <v>2.2999999999999998</v>
      </c>
      <c r="D13" s="32" t="s">
        <v>85</v>
      </c>
      <c r="E13" s="32"/>
      <c r="F13" s="32"/>
      <c r="G13" s="37">
        <f>7*350/1000</f>
        <v>2.4500000000000002</v>
      </c>
      <c r="H13" s="36">
        <v>0.8</v>
      </c>
      <c r="I13" s="39">
        <f t="shared" ref="I13" si="5">G13*H13</f>
        <v>1.9600000000000002</v>
      </c>
      <c r="K13">
        <f t="shared" ref="K13:K14" si="6">G13/0.8/0.22</f>
        <v>13.920454545454545</v>
      </c>
      <c r="L13">
        <f t="shared" si="2"/>
        <v>17.40056818181818</v>
      </c>
      <c r="M13" t="s">
        <v>58</v>
      </c>
    </row>
    <row r="14" spans="2:14" x14ac:dyDescent="0.3">
      <c r="B14" s="102"/>
      <c r="C14" s="32"/>
      <c r="D14" s="32"/>
      <c r="E14" s="32"/>
      <c r="F14" s="32"/>
      <c r="G14" s="37"/>
      <c r="H14" s="36"/>
      <c r="I14" s="39"/>
      <c r="K14">
        <f t="shared" si="6"/>
        <v>0</v>
      </c>
      <c r="L14">
        <f t="shared" si="2"/>
        <v>0</v>
      </c>
    </row>
    <row r="15" spans="2:14" x14ac:dyDescent="0.3">
      <c r="B15" s="102"/>
      <c r="C15" s="32"/>
      <c r="D15" s="34" t="s">
        <v>59</v>
      </c>
      <c r="E15" s="32"/>
      <c r="F15" s="32"/>
      <c r="G15" s="40">
        <f>SUM(G8:G14)</f>
        <v>11.425999999999998</v>
      </c>
      <c r="H15" s="32"/>
      <c r="I15" s="38"/>
      <c r="K15" s="41"/>
    </row>
    <row r="16" spans="2:14" x14ac:dyDescent="0.3">
      <c r="B16" s="102"/>
      <c r="C16" s="32"/>
      <c r="D16" s="34" t="s">
        <v>60</v>
      </c>
      <c r="E16" s="32"/>
      <c r="F16" s="32"/>
      <c r="G16" s="38"/>
      <c r="H16" s="32"/>
      <c r="I16" s="42">
        <f>SUM(I8:I14)</f>
        <v>9.8407999999999998</v>
      </c>
      <c r="K16" s="43">
        <f>I16/0.8</f>
        <v>12.300999999999998</v>
      </c>
      <c r="L16" s="43" t="s">
        <v>61</v>
      </c>
      <c r="M16">
        <f>I16/0.22/0.8/SQRT(3)</f>
        <v>32.2817530059163</v>
      </c>
      <c r="N16" t="s">
        <v>132</v>
      </c>
    </row>
    <row r="17" spans="2:14" x14ac:dyDescent="0.3">
      <c r="B17" s="44"/>
      <c r="C17" s="44"/>
      <c r="D17" s="44"/>
      <c r="E17" s="44"/>
      <c r="F17" s="44"/>
      <c r="G17" s="44"/>
      <c r="H17" s="44"/>
      <c r="I17" s="44"/>
    </row>
    <row r="18" spans="2:14" x14ac:dyDescent="0.3">
      <c r="B18" s="44"/>
      <c r="C18" s="44"/>
      <c r="D18" s="44"/>
      <c r="E18" s="44"/>
      <c r="F18" s="44"/>
      <c r="G18" s="44"/>
      <c r="H18" s="44"/>
      <c r="I18" s="44"/>
    </row>
    <row r="19" spans="2:14" x14ac:dyDescent="0.3">
      <c r="B19" s="104" t="s">
        <v>102</v>
      </c>
      <c r="C19" s="105"/>
      <c r="D19" s="105"/>
      <c r="E19" s="105"/>
      <c r="F19" s="105"/>
      <c r="G19" s="105"/>
      <c r="H19" s="105"/>
      <c r="I19" s="106"/>
    </row>
    <row r="20" spans="2:14" x14ac:dyDescent="0.3">
      <c r="B20" s="31" t="s">
        <v>15</v>
      </c>
      <c r="C20" s="31" t="s">
        <v>47</v>
      </c>
      <c r="D20" s="32" t="s">
        <v>48</v>
      </c>
      <c r="E20" s="31" t="s">
        <v>49</v>
      </c>
      <c r="F20" s="31" t="s">
        <v>50</v>
      </c>
      <c r="G20" s="31" t="s">
        <v>51</v>
      </c>
      <c r="H20" s="31" t="s">
        <v>52</v>
      </c>
      <c r="I20" s="31" t="s">
        <v>53</v>
      </c>
    </row>
    <row r="21" spans="2:14" x14ac:dyDescent="0.3">
      <c r="B21" s="33"/>
      <c r="C21" s="33"/>
      <c r="D21" s="33"/>
      <c r="E21" s="33"/>
      <c r="F21" s="33"/>
      <c r="G21" s="33"/>
      <c r="H21" s="33"/>
      <c r="I21" s="33"/>
    </row>
    <row r="22" spans="2:14" x14ac:dyDescent="0.3">
      <c r="B22" s="102" t="s">
        <v>62</v>
      </c>
      <c r="C22" s="34">
        <v>1</v>
      </c>
      <c r="D22" s="34" t="s">
        <v>87</v>
      </c>
      <c r="E22" s="32"/>
      <c r="F22" s="32"/>
      <c r="G22" s="37"/>
      <c r="H22" s="32"/>
      <c r="I22" s="38"/>
    </row>
    <row r="23" spans="2:14" x14ac:dyDescent="0.3">
      <c r="B23" s="102"/>
      <c r="C23" s="32">
        <v>1.01</v>
      </c>
      <c r="D23" s="56" t="s">
        <v>142</v>
      </c>
      <c r="E23" s="56"/>
      <c r="F23" s="56"/>
      <c r="G23" s="57">
        <v>8.4</v>
      </c>
      <c r="H23" s="58">
        <v>0.8</v>
      </c>
      <c r="I23" s="59">
        <f t="shared" ref="I23:I38" si="7">G23*H23</f>
        <v>6.7200000000000006</v>
      </c>
      <c r="K23">
        <f t="shared" ref="K23:K28" si="8">G23/0.22/0.8/SQRT(3)</f>
        <v>27.555353756777592</v>
      </c>
      <c r="L23">
        <f>K23*1.25</f>
        <v>34.444192195971993</v>
      </c>
      <c r="M23" t="s">
        <v>63</v>
      </c>
      <c r="N23" t="s">
        <v>64</v>
      </c>
    </row>
    <row r="24" spans="2:14" x14ac:dyDescent="0.3">
      <c r="B24" s="102"/>
      <c r="C24" s="32">
        <v>1.02</v>
      </c>
      <c r="D24" s="56" t="s">
        <v>143</v>
      </c>
      <c r="E24" s="56"/>
      <c r="F24" s="56"/>
      <c r="G24" s="57">
        <v>6.8</v>
      </c>
      <c r="H24" s="58">
        <v>0.8</v>
      </c>
      <c r="I24" s="59">
        <f t="shared" ref="I24" si="9">G24*H24</f>
        <v>5.44</v>
      </c>
      <c r="K24">
        <f t="shared" si="8"/>
        <v>22.306714945962813</v>
      </c>
      <c r="L24">
        <f t="shared" ref="L24:L38" si="10">K24*1.25</f>
        <v>27.883393682453516</v>
      </c>
      <c r="M24" t="s">
        <v>65</v>
      </c>
      <c r="N24" t="s">
        <v>66</v>
      </c>
    </row>
    <row r="25" spans="2:14" x14ac:dyDescent="0.3">
      <c r="B25" s="102"/>
      <c r="C25" s="32">
        <v>1.03</v>
      </c>
      <c r="D25" s="56" t="s">
        <v>144</v>
      </c>
      <c r="E25" s="56"/>
      <c r="F25" s="56"/>
      <c r="G25" s="57">
        <v>3.75</v>
      </c>
      <c r="H25" s="58">
        <v>0.8</v>
      </c>
      <c r="I25" s="59">
        <f t="shared" si="7"/>
        <v>3</v>
      </c>
      <c r="K25">
        <f t="shared" si="8"/>
        <v>12.301497212847142</v>
      </c>
      <c r="L25">
        <f t="shared" si="10"/>
        <v>15.376871516058927</v>
      </c>
      <c r="M25" t="s">
        <v>63</v>
      </c>
      <c r="N25" t="s">
        <v>67</v>
      </c>
    </row>
    <row r="26" spans="2:14" x14ac:dyDescent="0.3">
      <c r="B26" s="102"/>
      <c r="C26" s="32">
        <v>1.04</v>
      </c>
      <c r="D26" s="56" t="s">
        <v>145</v>
      </c>
      <c r="E26" s="56"/>
      <c r="F26" s="56"/>
      <c r="G26" s="57">
        <v>6.2</v>
      </c>
      <c r="H26" s="58">
        <v>0.8</v>
      </c>
      <c r="I26" s="59">
        <f t="shared" ref="I26" si="11">G26*H26</f>
        <v>4.9600000000000009</v>
      </c>
      <c r="K26">
        <f t="shared" si="8"/>
        <v>20.338475391907274</v>
      </c>
      <c r="L26">
        <f t="shared" si="10"/>
        <v>25.423094239884094</v>
      </c>
    </row>
    <row r="27" spans="2:14" x14ac:dyDescent="0.3">
      <c r="B27" s="102"/>
      <c r="C27" s="32">
        <v>1.05</v>
      </c>
      <c r="D27" s="56" t="s">
        <v>146</v>
      </c>
      <c r="E27" s="56"/>
      <c r="F27" s="56"/>
      <c r="G27" s="57">
        <v>0</v>
      </c>
      <c r="H27" s="58">
        <v>0.8</v>
      </c>
      <c r="I27" s="59">
        <f t="shared" ref="I27" si="12">G27*H27</f>
        <v>0</v>
      </c>
      <c r="K27">
        <f t="shared" si="8"/>
        <v>0</v>
      </c>
      <c r="L27">
        <f t="shared" si="10"/>
        <v>0</v>
      </c>
      <c r="M27" t="s">
        <v>65</v>
      </c>
      <c r="N27" t="s">
        <v>68</v>
      </c>
    </row>
    <row r="28" spans="2:14" x14ac:dyDescent="0.3">
      <c r="B28" s="102"/>
      <c r="C28" s="32">
        <v>1.06</v>
      </c>
      <c r="D28" s="64" t="s">
        <v>119</v>
      </c>
      <c r="E28" s="64"/>
      <c r="F28" s="64"/>
      <c r="G28" s="65">
        <v>6.5</v>
      </c>
      <c r="H28" s="66">
        <v>0.8</v>
      </c>
      <c r="I28" s="67">
        <f t="shared" ref="I28" si="13">G28*H28</f>
        <v>5.2</v>
      </c>
      <c r="K28">
        <f t="shared" si="8"/>
        <v>21.322595168935042</v>
      </c>
      <c r="L28">
        <f t="shared" si="10"/>
        <v>26.653243961168801</v>
      </c>
      <c r="M28" t="s">
        <v>63</v>
      </c>
    </row>
    <row r="29" spans="2:14" x14ac:dyDescent="0.3">
      <c r="B29" s="102"/>
      <c r="C29" s="32">
        <v>1.07</v>
      </c>
      <c r="D29" s="64" t="s">
        <v>121</v>
      </c>
      <c r="E29" s="64"/>
      <c r="F29" s="64"/>
      <c r="G29" s="65">
        <v>4</v>
      </c>
      <c r="H29" s="66">
        <v>0.8</v>
      </c>
      <c r="I29" s="67">
        <f t="shared" si="7"/>
        <v>3.2</v>
      </c>
      <c r="K29">
        <f t="shared" ref="K29:K36" si="14">G29/0.22/0.8</f>
        <v>22.727272727272727</v>
      </c>
      <c r="L29">
        <f t="shared" si="10"/>
        <v>28.409090909090907</v>
      </c>
      <c r="M29" t="s">
        <v>69</v>
      </c>
      <c r="N29" t="s">
        <v>70</v>
      </c>
    </row>
    <row r="30" spans="2:14" x14ac:dyDescent="0.3">
      <c r="B30" s="102"/>
      <c r="C30" s="32">
        <v>1.08</v>
      </c>
      <c r="D30" s="60" t="s">
        <v>122</v>
      </c>
      <c r="E30" s="60"/>
      <c r="F30" s="60"/>
      <c r="G30" s="61">
        <v>5.4</v>
      </c>
      <c r="H30" s="62">
        <v>0.8</v>
      </c>
      <c r="I30" s="63">
        <f t="shared" ref="I30:I32" si="15">G30*H30</f>
        <v>4.32</v>
      </c>
    </row>
    <row r="31" spans="2:14" x14ac:dyDescent="0.3">
      <c r="B31" s="102"/>
      <c r="C31" s="32">
        <v>1.0900000000000001</v>
      </c>
      <c r="D31" s="60" t="s">
        <v>123</v>
      </c>
      <c r="E31" s="60"/>
      <c r="F31" s="60"/>
      <c r="G31" s="76">
        <v>4</v>
      </c>
      <c r="H31" s="62">
        <v>0.8</v>
      </c>
      <c r="I31" s="63">
        <f t="shared" si="15"/>
        <v>3.2</v>
      </c>
    </row>
    <row r="32" spans="2:14" s="44" customFormat="1" x14ac:dyDescent="0.3">
      <c r="B32" s="102"/>
      <c r="C32" s="77" t="s">
        <v>120</v>
      </c>
      <c r="D32" s="78" t="s">
        <v>124</v>
      </c>
      <c r="E32" s="78"/>
      <c r="F32" s="78"/>
      <c r="G32" s="79">
        <v>2.2349999999999999</v>
      </c>
      <c r="H32" s="80">
        <v>0.8</v>
      </c>
      <c r="I32" s="81">
        <f t="shared" si="15"/>
        <v>1.788</v>
      </c>
    </row>
    <row r="33" spans="2:14" s="44" customFormat="1" x14ac:dyDescent="0.3">
      <c r="B33" s="102"/>
      <c r="C33" s="78">
        <v>1.1100000000000001</v>
      </c>
      <c r="D33" s="78" t="s">
        <v>125</v>
      </c>
      <c r="E33" s="78"/>
      <c r="F33" s="78"/>
      <c r="G33" s="79">
        <v>0.746</v>
      </c>
      <c r="H33" s="80">
        <v>0.8</v>
      </c>
      <c r="I33" s="81">
        <f t="shared" si="7"/>
        <v>0.5968</v>
      </c>
      <c r="K33" s="44">
        <f t="shared" si="14"/>
        <v>4.2386363636363633</v>
      </c>
      <c r="L33" s="44">
        <f t="shared" si="10"/>
        <v>5.2982954545454541</v>
      </c>
      <c r="M33" s="44" t="s">
        <v>58</v>
      </c>
      <c r="N33" s="44" t="s">
        <v>71</v>
      </c>
    </row>
    <row r="34" spans="2:14" s="44" customFormat="1" x14ac:dyDescent="0.3">
      <c r="B34" s="102"/>
      <c r="C34" s="78">
        <v>1.1200000000000001</v>
      </c>
      <c r="D34" s="78" t="s">
        <v>126</v>
      </c>
      <c r="E34" s="78"/>
      <c r="F34" s="78"/>
      <c r="G34" s="79">
        <v>2.2360000000000002</v>
      </c>
      <c r="H34" s="80">
        <v>0.8</v>
      </c>
      <c r="I34" s="81">
        <f t="shared" si="7"/>
        <v>1.7888000000000002</v>
      </c>
      <c r="K34" s="44">
        <f t="shared" si="14"/>
        <v>12.704545454545455</v>
      </c>
      <c r="L34" s="44">
        <f t="shared" si="10"/>
        <v>15.880681818181818</v>
      </c>
      <c r="M34" s="44" t="s">
        <v>58</v>
      </c>
      <c r="N34" s="44" t="s">
        <v>72</v>
      </c>
    </row>
    <row r="35" spans="2:14" s="44" customFormat="1" x14ac:dyDescent="0.3">
      <c r="B35" s="102"/>
      <c r="C35" s="78">
        <v>1.1299999999999999</v>
      </c>
      <c r="D35" s="78" t="s">
        <v>127</v>
      </c>
      <c r="E35" s="78"/>
      <c r="F35" s="78"/>
      <c r="G35" s="79">
        <v>0.746</v>
      </c>
      <c r="H35" s="80">
        <v>0.8</v>
      </c>
      <c r="I35" s="81">
        <f t="shared" ref="I35" si="16">G35*H35</f>
        <v>0.5968</v>
      </c>
    </row>
    <row r="36" spans="2:14" x14ac:dyDescent="0.3">
      <c r="B36" s="102"/>
      <c r="C36" s="32">
        <v>1.1399999999999999</v>
      </c>
      <c r="D36" s="32" t="s">
        <v>28</v>
      </c>
      <c r="E36" s="32"/>
      <c r="F36" s="32"/>
      <c r="G36" s="45">
        <v>1</v>
      </c>
      <c r="H36" s="36">
        <v>0.8</v>
      </c>
      <c r="I36" s="39">
        <f t="shared" si="7"/>
        <v>0.8</v>
      </c>
      <c r="K36">
        <f t="shared" si="14"/>
        <v>5.6818181818181817</v>
      </c>
      <c r="L36">
        <f t="shared" si="10"/>
        <v>7.1022727272727266</v>
      </c>
      <c r="M36" t="s">
        <v>58</v>
      </c>
      <c r="N36" t="s">
        <v>73</v>
      </c>
    </row>
    <row r="37" spans="2:14" x14ac:dyDescent="0.3">
      <c r="B37" s="102"/>
      <c r="C37" s="34">
        <v>2</v>
      </c>
      <c r="D37" s="34" t="s">
        <v>88</v>
      </c>
      <c r="E37" s="32"/>
      <c r="F37" s="32"/>
      <c r="G37" s="45"/>
      <c r="H37" s="36"/>
      <c r="I37" s="39"/>
    </row>
    <row r="38" spans="2:14" x14ac:dyDescent="0.3">
      <c r="B38" s="102"/>
      <c r="C38" s="51">
        <v>2.1</v>
      </c>
      <c r="D38" s="32" t="s">
        <v>29</v>
      </c>
      <c r="E38" s="32"/>
      <c r="F38" s="32"/>
      <c r="G38" s="45">
        <v>1.5</v>
      </c>
      <c r="H38" s="36">
        <v>0.8</v>
      </c>
      <c r="I38" s="39">
        <f t="shared" si="7"/>
        <v>1.2000000000000002</v>
      </c>
      <c r="K38">
        <f t="shared" ref="K38" si="17">G38/0.22/0.8/SQRT(3)</f>
        <v>4.9205988851388556</v>
      </c>
      <c r="L38">
        <f t="shared" si="10"/>
        <v>6.1507486064235692</v>
      </c>
      <c r="M38" t="s">
        <v>58</v>
      </c>
      <c r="N38" t="s">
        <v>74</v>
      </c>
    </row>
    <row r="39" spans="2:14" x14ac:dyDescent="0.3">
      <c r="B39" s="102"/>
      <c r="C39" s="32"/>
      <c r="D39" s="34" t="s">
        <v>59</v>
      </c>
      <c r="E39" s="32"/>
      <c r="F39" s="32"/>
      <c r="G39" s="46">
        <f>SUM(G23:G38)</f>
        <v>53.512999999999998</v>
      </c>
      <c r="H39" s="34"/>
      <c r="I39" s="47"/>
    </row>
    <row r="40" spans="2:14" x14ac:dyDescent="0.3">
      <c r="B40" s="102"/>
      <c r="C40" s="32"/>
      <c r="D40" s="34" t="s">
        <v>60</v>
      </c>
      <c r="E40" s="32"/>
      <c r="F40" s="32"/>
      <c r="G40" s="34"/>
      <c r="H40" s="34"/>
      <c r="I40" s="42">
        <f>SUM(I23:I38)</f>
        <v>42.810400000000008</v>
      </c>
      <c r="L40" t="e">
        <f>TF_AA/0.22/0.8/SQRT(3)</f>
        <v>#NAME?</v>
      </c>
    </row>
    <row r="41" spans="2:14" x14ac:dyDescent="0.3">
      <c r="B41" s="102"/>
      <c r="C41" s="32"/>
      <c r="D41" s="34"/>
      <c r="E41" s="32"/>
      <c r="F41" s="32"/>
      <c r="G41" s="32"/>
      <c r="H41" s="32"/>
      <c r="I41" s="32"/>
      <c r="L41" t="e">
        <f>L40*1.1</f>
        <v>#NAME?</v>
      </c>
      <c r="M41" t="s">
        <v>75</v>
      </c>
    </row>
    <row r="42" spans="2:14" x14ac:dyDescent="0.3">
      <c r="B42" s="44"/>
      <c r="C42" s="44"/>
      <c r="D42" s="44"/>
      <c r="E42" s="44"/>
      <c r="F42" s="44"/>
      <c r="G42" s="44"/>
      <c r="H42" s="44"/>
      <c r="I42" s="44"/>
    </row>
    <row r="43" spans="2:14" x14ac:dyDescent="0.3">
      <c r="B43" s="44"/>
      <c r="C43" s="44"/>
      <c r="D43" s="33"/>
      <c r="E43" s="44"/>
      <c r="F43" s="44"/>
      <c r="G43" s="44"/>
      <c r="H43" s="44"/>
      <c r="I43" s="44"/>
    </row>
    <row r="44" spans="2:14" x14ac:dyDescent="0.3">
      <c r="B44" s="44"/>
      <c r="C44" s="44"/>
      <c r="D44" s="44"/>
      <c r="E44" s="44"/>
      <c r="F44" s="44"/>
      <c r="G44" s="44"/>
      <c r="H44" s="44"/>
      <c r="I44" s="44"/>
    </row>
    <row r="45" spans="2:14" x14ac:dyDescent="0.3">
      <c r="B45" s="107" t="s">
        <v>117</v>
      </c>
      <c r="C45" s="107"/>
      <c r="D45" s="107"/>
      <c r="E45" s="107"/>
      <c r="F45" s="107"/>
      <c r="G45" s="107"/>
      <c r="H45" s="107"/>
      <c r="I45" s="107"/>
    </row>
    <row r="46" spans="2:14" x14ac:dyDescent="0.3">
      <c r="B46" s="31" t="s">
        <v>15</v>
      </c>
      <c r="C46" s="31" t="s">
        <v>47</v>
      </c>
      <c r="D46" s="32" t="s">
        <v>48</v>
      </c>
      <c r="E46" s="31" t="s">
        <v>49</v>
      </c>
      <c r="F46" s="31" t="s">
        <v>50</v>
      </c>
      <c r="G46" s="31" t="s">
        <v>51</v>
      </c>
      <c r="H46" s="31" t="s">
        <v>52</v>
      </c>
      <c r="I46" s="31" t="s">
        <v>53</v>
      </c>
    </row>
    <row r="47" spans="2:14" x14ac:dyDescent="0.3">
      <c r="B47" s="33"/>
      <c r="C47" s="33"/>
      <c r="D47" s="33"/>
      <c r="E47" s="33"/>
      <c r="F47" s="33"/>
      <c r="G47" s="33"/>
      <c r="H47" s="33"/>
      <c r="I47" s="33"/>
    </row>
    <row r="48" spans="2:14" x14ac:dyDescent="0.3">
      <c r="B48" s="102" t="s">
        <v>90</v>
      </c>
      <c r="C48" s="34">
        <v>1</v>
      </c>
      <c r="D48" s="34" t="s">
        <v>96</v>
      </c>
      <c r="E48" s="32"/>
      <c r="F48" s="32"/>
      <c r="G48" s="32"/>
      <c r="H48" s="32"/>
      <c r="I48" s="32"/>
    </row>
    <row r="49" spans="2:12" x14ac:dyDescent="0.3">
      <c r="B49" s="102"/>
      <c r="C49" s="32">
        <v>1.1000000000000001</v>
      </c>
      <c r="D49" s="32" t="s">
        <v>128</v>
      </c>
      <c r="E49" s="32"/>
      <c r="F49" s="32"/>
      <c r="G49" s="35">
        <f>(170)*0.8</f>
        <v>136</v>
      </c>
      <c r="H49" s="36">
        <v>1</v>
      </c>
      <c r="I49" s="35">
        <f>G49*H49</f>
        <v>136</v>
      </c>
    </row>
    <row r="50" spans="2:12" x14ac:dyDescent="0.3">
      <c r="B50" s="102"/>
      <c r="C50" s="32"/>
      <c r="D50" s="34" t="s">
        <v>59</v>
      </c>
      <c r="E50" s="32"/>
      <c r="F50" s="32"/>
      <c r="G50" s="48">
        <f>SUM(G49:G49)</f>
        <v>136</v>
      </c>
      <c r="H50" s="34"/>
      <c r="I50" s="47"/>
    </row>
    <row r="51" spans="2:12" x14ac:dyDescent="0.3">
      <c r="B51" s="102"/>
      <c r="C51" s="32"/>
      <c r="D51" s="34" t="s">
        <v>60</v>
      </c>
      <c r="E51" s="32"/>
      <c r="F51" s="32"/>
      <c r="G51" s="34"/>
      <c r="H51" s="34"/>
      <c r="I51" s="42">
        <f>SUM(I49:I49)</f>
        <v>136</v>
      </c>
      <c r="K51" s="49"/>
      <c r="L51" s="49"/>
    </row>
    <row r="52" spans="2:12" x14ac:dyDescent="0.3">
      <c r="B52" s="102"/>
      <c r="C52" s="32"/>
      <c r="D52" s="34"/>
      <c r="E52" s="32"/>
      <c r="F52" s="32"/>
      <c r="G52" s="32"/>
      <c r="H52" s="32"/>
      <c r="I52" s="32"/>
      <c r="K52" s="50"/>
      <c r="L52" s="50"/>
    </row>
    <row r="53" spans="2:12" x14ac:dyDescent="0.3">
      <c r="B53" s="44"/>
      <c r="C53" s="44"/>
      <c r="D53" s="44"/>
      <c r="E53" s="44"/>
      <c r="F53" s="44"/>
      <c r="G53" s="44"/>
      <c r="H53" s="44"/>
      <c r="I53" s="44"/>
    </row>
  </sheetData>
  <mergeCells count="7">
    <mergeCell ref="B48:B52"/>
    <mergeCell ref="B2:I2"/>
    <mergeCell ref="B4:I4"/>
    <mergeCell ref="B7:B16"/>
    <mergeCell ref="B19:I19"/>
    <mergeCell ref="B22:B41"/>
    <mergeCell ref="B45:I45"/>
  </mergeCells>
  <pageMargins left="0.7" right="0.7" top="0.75" bottom="0.75" header="0.3" footer="0.3"/>
  <pageSetup paperSize="9" scale="68" orientation="portrait" r:id="rId1"/>
  <colBreaks count="1" manualBreakCount="1">
    <brk id="9" max="1048575" man="1"/>
  </colBreaks>
  <ignoredErrors>
    <ignoredError sqref="C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57F8-A73F-4D51-BB51-A8BCD0C77B13}">
  <sheetPr>
    <tabColor theme="9" tint="0.39997558519241921"/>
    <pageSetUpPr fitToPage="1"/>
  </sheetPr>
  <dimension ref="A1:Y45"/>
  <sheetViews>
    <sheetView tabSelected="1" topLeftCell="A8" zoomScale="85" zoomScaleNormal="85" zoomScaleSheetLayoutView="130" workbookViewId="0">
      <selection activeCell="E27" sqref="E27"/>
    </sheetView>
  </sheetViews>
  <sheetFormatPr baseColWidth="10" defaultRowHeight="14.4" x14ac:dyDescent="0.3"/>
  <cols>
    <col min="2" max="2" width="17" bestFit="1" customWidth="1"/>
    <col min="3" max="3" width="30.88671875" customWidth="1"/>
    <col min="4" max="4" width="12.5546875" customWidth="1"/>
    <col min="5" max="5" width="13.88671875" bestFit="1" customWidth="1"/>
    <col min="14" max="14" width="12.6640625" customWidth="1"/>
    <col min="15" max="16" width="11.88671875" bestFit="1" customWidth="1"/>
    <col min="17" max="17" width="7.6640625" bestFit="1" customWidth="1"/>
    <col min="18" max="18" width="7.33203125" customWidth="1"/>
  </cols>
  <sheetData>
    <row r="1" spans="1:25" x14ac:dyDescent="0.3">
      <c r="N1" s="1"/>
      <c r="O1" s="1"/>
    </row>
    <row r="2" spans="1:25" ht="18.600000000000001" thickBot="1" x14ac:dyDescent="0.35">
      <c r="A2" s="122" t="s">
        <v>116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5" ht="15" thickBot="1" x14ac:dyDescent="0.35">
      <c r="A3" s="123" t="s">
        <v>0</v>
      </c>
      <c r="B3" s="124" t="s">
        <v>26</v>
      </c>
      <c r="C3" s="124" t="s">
        <v>1</v>
      </c>
      <c r="D3" s="124" t="s">
        <v>2</v>
      </c>
      <c r="E3" s="125" t="s">
        <v>3</v>
      </c>
      <c r="F3" s="124" t="s">
        <v>4</v>
      </c>
      <c r="G3" s="124" t="s">
        <v>5</v>
      </c>
      <c r="H3" s="126" t="s">
        <v>6</v>
      </c>
      <c r="I3" s="123" t="s">
        <v>45</v>
      </c>
      <c r="J3" s="123" t="s">
        <v>7</v>
      </c>
      <c r="K3" s="124" t="s">
        <v>8</v>
      </c>
      <c r="L3" s="124" t="s">
        <v>9</v>
      </c>
      <c r="M3" s="124" t="s">
        <v>10</v>
      </c>
      <c r="N3" s="126" t="s">
        <v>11</v>
      </c>
      <c r="O3" s="123" t="s">
        <v>27</v>
      </c>
      <c r="P3" s="124"/>
      <c r="Q3" s="124"/>
      <c r="R3" s="124"/>
      <c r="S3" s="124" t="s">
        <v>16</v>
      </c>
      <c r="T3" s="126"/>
      <c r="U3" s="128" t="s">
        <v>44</v>
      </c>
      <c r="V3" s="129"/>
      <c r="W3" s="130"/>
      <c r="X3" s="130"/>
      <c r="Y3" s="131"/>
    </row>
    <row r="4" spans="1:25" ht="21" thickBot="1" x14ac:dyDescent="0.35">
      <c r="A4" s="116"/>
      <c r="B4" s="117"/>
      <c r="C4" s="117"/>
      <c r="D4" s="118"/>
      <c r="E4" s="120"/>
      <c r="F4" s="117"/>
      <c r="G4" s="117"/>
      <c r="H4" s="121"/>
      <c r="I4" s="116" t="s">
        <v>45</v>
      </c>
      <c r="J4" s="116"/>
      <c r="K4" s="117"/>
      <c r="L4" s="117"/>
      <c r="M4" s="117"/>
      <c r="N4" s="121"/>
      <c r="O4" s="3" t="s">
        <v>12</v>
      </c>
      <c r="P4" s="4" t="s">
        <v>13</v>
      </c>
      <c r="Q4" s="4" t="s">
        <v>14</v>
      </c>
      <c r="R4" s="4" t="s">
        <v>15</v>
      </c>
      <c r="S4" s="4" t="s">
        <v>17</v>
      </c>
      <c r="T4" s="23" t="s">
        <v>15</v>
      </c>
      <c r="U4" s="17" t="s">
        <v>18</v>
      </c>
      <c r="V4" s="22" t="s">
        <v>19</v>
      </c>
      <c r="W4" s="19" t="s">
        <v>46</v>
      </c>
      <c r="X4" s="20" t="s">
        <v>20</v>
      </c>
      <c r="Y4" s="21" t="s">
        <v>21</v>
      </c>
    </row>
    <row r="5" spans="1:25" ht="21" customHeight="1" x14ac:dyDescent="0.3">
      <c r="A5" s="11" t="s">
        <v>77</v>
      </c>
      <c r="B5" s="68" t="s">
        <v>107</v>
      </c>
      <c r="C5" s="18" t="s">
        <v>114</v>
      </c>
      <c r="D5" s="71">
        <v>1</v>
      </c>
      <c r="E5" s="5">
        <v>136000</v>
      </c>
      <c r="F5" s="6">
        <f t="shared" ref="F5:F11" si="0">D5*E5</f>
        <v>136000</v>
      </c>
      <c r="G5" s="7">
        <v>1</v>
      </c>
      <c r="H5" s="5">
        <f t="shared" ref="H5:H11" si="1">F5*G5</f>
        <v>136000</v>
      </c>
      <c r="I5" s="8">
        <v>0.85</v>
      </c>
      <c r="J5" s="7">
        <v>440</v>
      </c>
      <c r="K5" s="7">
        <v>3</v>
      </c>
      <c r="L5" s="8">
        <f>F5/(J5*I5*(IF(K5=3,1.73,1)))</f>
        <v>210.19442984760906</v>
      </c>
      <c r="M5" s="8">
        <f t="shared" ref="M5:M11" si="2">L5*1.25</f>
        <v>262.74303730951135</v>
      </c>
      <c r="N5" s="15" t="s">
        <v>140</v>
      </c>
      <c r="O5" s="9">
        <v>95</v>
      </c>
      <c r="P5" s="7"/>
      <c r="Q5" s="10">
        <v>35</v>
      </c>
      <c r="R5" s="11" t="s">
        <v>24</v>
      </c>
      <c r="S5" s="7" t="s">
        <v>86</v>
      </c>
      <c r="T5" s="7" t="s">
        <v>25</v>
      </c>
      <c r="U5" s="7">
        <v>1</v>
      </c>
      <c r="V5" s="12">
        <v>114</v>
      </c>
      <c r="W5" s="8"/>
      <c r="X5" s="8">
        <f>((IF(K5=3,1.73,2)*L5*0.0175*V5*G5)/O5/U5)+W5</f>
        <v>7.6363636363636376</v>
      </c>
      <c r="Y5" s="8">
        <f>X5*100/J5</f>
        <v>1.7355371900826448</v>
      </c>
    </row>
    <row r="6" spans="1:25" ht="21" customHeight="1" x14ac:dyDescent="0.3">
      <c r="A6" s="11"/>
      <c r="B6" s="68" t="s">
        <v>107</v>
      </c>
      <c r="C6" s="18" t="s">
        <v>115</v>
      </c>
      <c r="D6" s="71">
        <v>1</v>
      </c>
      <c r="E6" s="5">
        <v>136000</v>
      </c>
      <c r="F6" s="6">
        <f t="shared" si="0"/>
        <v>136000</v>
      </c>
      <c r="G6" s="7">
        <v>1</v>
      </c>
      <c r="H6" s="5">
        <f t="shared" si="1"/>
        <v>136000</v>
      </c>
      <c r="I6" s="8">
        <v>0.85</v>
      </c>
      <c r="J6" s="7">
        <v>440</v>
      </c>
      <c r="K6" s="7">
        <v>3</v>
      </c>
      <c r="L6" s="8">
        <f>F6/(J6*I6*(IF(K6=3,1.73,1)))</f>
        <v>210.19442984760906</v>
      </c>
      <c r="M6" s="8">
        <f t="shared" si="2"/>
        <v>262.74303730951135</v>
      </c>
      <c r="N6" s="15"/>
      <c r="O6" s="9">
        <v>95</v>
      </c>
      <c r="P6" s="7"/>
      <c r="Q6" s="10">
        <v>35</v>
      </c>
      <c r="R6" s="11" t="s">
        <v>24</v>
      </c>
      <c r="S6" s="7" t="s">
        <v>86</v>
      </c>
      <c r="T6" s="7" t="s">
        <v>25</v>
      </c>
      <c r="U6" s="7">
        <v>1</v>
      </c>
      <c r="V6" s="12">
        <v>8</v>
      </c>
      <c r="W6" s="8"/>
      <c r="X6" s="8">
        <f t="shared" ref="X6:X11" si="3">((IF(K6=3,1.73,2)*L6*0.0175*V6*G6)/O6/U6)+W6</f>
        <v>0.53588516746411496</v>
      </c>
      <c r="Y6" s="8">
        <f t="shared" ref="Y6:Y11" si="4">X6*100/J6</f>
        <v>0.12179208351457159</v>
      </c>
    </row>
    <row r="7" spans="1:25" ht="22.2" customHeight="1" x14ac:dyDescent="0.3">
      <c r="A7" s="11"/>
      <c r="B7" s="69" t="s">
        <v>108</v>
      </c>
      <c r="C7" s="18" t="s">
        <v>112</v>
      </c>
      <c r="D7" s="71">
        <v>1</v>
      </c>
      <c r="E7" s="5">
        <v>136000</v>
      </c>
      <c r="F7" s="6">
        <f t="shared" si="0"/>
        <v>136000</v>
      </c>
      <c r="G7" s="7">
        <v>1</v>
      </c>
      <c r="H7" s="5">
        <f t="shared" si="1"/>
        <v>136000</v>
      </c>
      <c r="I7" s="8">
        <v>0.85</v>
      </c>
      <c r="J7" s="7">
        <v>440</v>
      </c>
      <c r="K7" s="7">
        <v>3</v>
      </c>
      <c r="L7" s="8">
        <f t="shared" ref="L7:L10" si="5">F7/(J7*I7*(IF(K7=3,1.73,1)))</f>
        <v>210.19442984760906</v>
      </c>
      <c r="M7" s="8">
        <f t="shared" si="2"/>
        <v>262.74303730951135</v>
      </c>
      <c r="N7" s="15" t="s">
        <v>141</v>
      </c>
      <c r="O7" s="9">
        <v>95</v>
      </c>
      <c r="P7" s="8">
        <v>95</v>
      </c>
      <c r="Q7" s="10">
        <v>35</v>
      </c>
      <c r="R7" s="11" t="s">
        <v>24</v>
      </c>
      <c r="S7" s="7" t="s">
        <v>86</v>
      </c>
      <c r="T7" s="7" t="s">
        <v>25</v>
      </c>
      <c r="U7" s="7">
        <v>1</v>
      </c>
      <c r="V7" s="12">
        <v>8</v>
      </c>
      <c r="W7" s="8"/>
      <c r="X7" s="8">
        <f t="shared" si="3"/>
        <v>0.53588516746411496</v>
      </c>
      <c r="Y7" s="8">
        <f t="shared" si="4"/>
        <v>0.12179208351457159</v>
      </c>
    </row>
    <row r="8" spans="1:25" ht="21" customHeight="1" x14ac:dyDescent="0.3">
      <c r="A8" s="11"/>
      <c r="B8" s="69" t="s">
        <v>108</v>
      </c>
      <c r="C8" s="18" t="s">
        <v>109</v>
      </c>
      <c r="D8" s="71">
        <v>1</v>
      </c>
      <c r="E8" s="5">
        <v>136000</v>
      </c>
      <c r="F8" s="6">
        <f t="shared" si="0"/>
        <v>136000</v>
      </c>
      <c r="G8" s="7">
        <v>1</v>
      </c>
      <c r="H8" s="5">
        <f t="shared" si="1"/>
        <v>136000</v>
      </c>
      <c r="I8" s="8">
        <v>0.85</v>
      </c>
      <c r="J8" s="7">
        <v>440</v>
      </c>
      <c r="K8" s="7">
        <v>3</v>
      </c>
      <c r="L8" s="8">
        <f t="shared" si="5"/>
        <v>210.19442984760906</v>
      </c>
      <c r="M8" s="8">
        <f t="shared" si="2"/>
        <v>262.74303730951135</v>
      </c>
      <c r="N8" s="15"/>
      <c r="O8" s="9">
        <v>95</v>
      </c>
      <c r="P8" s="8">
        <v>95</v>
      </c>
      <c r="Q8" s="10">
        <v>35</v>
      </c>
      <c r="R8" s="11" t="s">
        <v>24</v>
      </c>
      <c r="S8" s="7" t="s">
        <v>86</v>
      </c>
      <c r="T8" s="7" t="s">
        <v>25</v>
      </c>
      <c r="U8" s="7">
        <v>1</v>
      </c>
      <c r="V8" s="12">
        <v>8</v>
      </c>
      <c r="W8" s="8"/>
      <c r="X8" s="8">
        <f t="shared" si="3"/>
        <v>0.53588516746411496</v>
      </c>
      <c r="Y8" s="8">
        <f t="shared" si="4"/>
        <v>0.12179208351457159</v>
      </c>
    </row>
    <row r="9" spans="1:25" ht="21" customHeight="1" x14ac:dyDescent="0.3">
      <c r="A9" s="11"/>
      <c r="B9" s="69" t="s">
        <v>108</v>
      </c>
      <c r="C9" s="18" t="s">
        <v>110</v>
      </c>
      <c r="D9" s="71">
        <v>1</v>
      </c>
      <c r="E9" s="5">
        <v>136000</v>
      </c>
      <c r="F9" s="6">
        <f t="shared" si="0"/>
        <v>136000</v>
      </c>
      <c r="G9" s="7">
        <v>1</v>
      </c>
      <c r="H9" s="5">
        <f t="shared" si="1"/>
        <v>136000</v>
      </c>
      <c r="I9" s="8">
        <v>0.85</v>
      </c>
      <c r="J9" s="7">
        <v>440</v>
      </c>
      <c r="K9" s="7">
        <v>3</v>
      </c>
      <c r="L9" s="8">
        <f t="shared" si="5"/>
        <v>210.19442984760906</v>
      </c>
      <c r="M9" s="8">
        <f t="shared" si="2"/>
        <v>262.74303730951135</v>
      </c>
      <c r="N9" s="15"/>
      <c r="O9" s="9">
        <v>95</v>
      </c>
      <c r="P9" s="8">
        <v>95</v>
      </c>
      <c r="Q9" s="10">
        <v>35</v>
      </c>
      <c r="R9" s="11" t="s">
        <v>24</v>
      </c>
      <c r="S9" s="7" t="s">
        <v>86</v>
      </c>
      <c r="T9" s="7" t="s">
        <v>25</v>
      </c>
      <c r="U9" s="7">
        <v>1</v>
      </c>
      <c r="V9" s="12">
        <v>8</v>
      </c>
      <c r="W9" s="8"/>
      <c r="X9" s="8">
        <f t="shared" si="3"/>
        <v>0.53588516746411496</v>
      </c>
      <c r="Y9" s="8">
        <f t="shared" si="4"/>
        <v>0.12179208351457159</v>
      </c>
    </row>
    <row r="10" spans="1:25" ht="19.95" customHeight="1" x14ac:dyDescent="0.3">
      <c r="A10" s="11"/>
      <c r="B10" s="69" t="s">
        <v>108</v>
      </c>
      <c r="C10" s="18" t="s">
        <v>111</v>
      </c>
      <c r="D10" s="71">
        <v>1</v>
      </c>
      <c r="E10" s="5">
        <v>136000</v>
      </c>
      <c r="F10" s="6">
        <f t="shared" si="0"/>
        <v>136000</v>
      </c>
      <c r="G10" s="7">
        <v>1</v>
      </c>
      <c r="H10" s="5">
        <f t="shared" si="1"/>
        <v>136000</v>
      </c>
      <c r="I10" s="8">
        <v>0.85</v>
      </c>
      <c r="J10" s="7">
        <v>440</v>
      </c>
      <c r="K10" s="7">
        <v>3</v>
      </c>
      <c r="L10" s="8">
        <f t="shared" si="5"/>
        <v>210.19442984760906</v>
      </c>
      <c r="M10" s="8">
        <f t="shared" si="2"/>
        <v>262.74303730951135</v>
      </c>
      <c r="N10" s="15"/>
      <c r="O10" s="9">
        <v>95</v>
      </c>
      <c r="P10" s="8">
        <v>95</v>
      </c>
      <c r="Q10" s="10">
        <v>35</v>
      </c>
      <c r="R10" s="11" t="s">
        <v>24</v>
      </c>
      <c r="S10" s="7" t="s">
        <v>86</v>
      </c>
      <c r="T10" s="7" t="s">
        <v>25</v>
      </c>
      <c r="U10" s="7">
        <v>1</v>
      </c>
      <c r="V10" s="12">
        <v>8</v>
      </c>
      <c r="W10" s="8"/>
      <c r="X10" s="8">
        <f t="shared" si="3"/>
        <v>0.53588516746411496</v>
      </c>
      <c r="Y10" s="8">
        <f t="shared" si="4"/>
        <v>0.12179208351457159</v>
      </c>
    </row>
    <row r="11" spans="1:25" x14ac:dyDescent="0.3">
      <c r="A11" s="11"/>
      <c r="B11" s="69" t="s">
        <v>108</v>
      </c>
      <c r="C11" s="18" t="s">
        <v>113</v>
      </c>
      <c r="D11" s="71">
        <v>1</v>
      </c>
      <c r="E11" s="5">
        <v>136000</v>
      </c>
      <c r="F11" s="52">
        <f t="shared" si="0"/>
        <v>136000</v>
      </c>
      <c r="G11" s="7">
        <v>1</v>
      </c>
      <c r="H11" s="5">
        <f t="shared" si="1"/>
        <v>136000</v>
      </c>
      <c r="I11" s="8">
        <v>0.85</v>
      </c>
      <c r="J11" s="7">
        <v>440</v>
      </c>
      <c r="K11" s="7">
        <v>3</v>
      </c>
      <c r="L11" s="8">
        <f>F11/(J11*I11*(IF(K11=3,1.73,1)))</f>
        <v>210.19442984760906</v>
      </c>
      <c r="M11" s="8">
        <f t="shared" si="2"/>
        <v>262.74303730951135</v>
      </c>
      <c r="N11" s="15"/>
      <c r="O11" s="9">
        <v>95</v>
      </c>
      <c r="P11" s="8">
        <v>95</v>
      </c>
      <c r="Q11" s="10">
        <v>35</v>
      </c>
      <c r="R11" s="11" t="s">
        <v>24</v>
      </c>
      <c r="S11" s="7" t="s">
        <v>86</v>
      </c>
      <c r="T11" s="7" t="s">
        <v>25</v>
      </c>
      <c r="U11" s="7">
        <v>1</v>
      </c>
      <c r="V11" s="12">
        <v>21</v>
      </c>
      <c r="W11" s="8">
        <f>X10</f>
        <v>0.53588516746411496</v>
      </c>
      <c r="X11" s="8">
        <f t="shared" si="3"/>
        <v>1.9425837320574166</v>
      </c>
      <c r="Y11" s="8">
        <f t="shared" si="4"/>
        <v>0.44149630274032198</v>
      </c>
    </row>
    <row r="12" spans="1:25" x14ac:dyDescent="0.3">
      <c r="A12" s="24"/>
      <c r="B12" s="24"/>
      <c r="C12" s="24"/>
      <c r="D12" s="24"/>
      <c r="E12" s="24"/>
      <c r="F12" s="2"/>
      <c r="G12" s="25"/>
      <c r="H12" s="2"/>
      <c r="I12" s="2"/>
      <c r="J12" s="25"/>
      <c r="K12" s="25"/>
      <c r="L12" s="26"/>
      <c r="M12" s="2"/>
      <c r="N12" s="27"/>
      <c r="O12" s="2"/>
      <c r="P12" s="2"/>
      <c r="Q12" s="2"/>
      <c r="R12" s="28"/>
      <c r="S12" s="29"/>
      <c r="U12" s="25"/>
      <c r="V12" s="30"/>
      <c r="W12" s="30"/>
      <c r="X12" s="2"/>
      <c r="Y12" s="2"/>
    </row>
    <row r="13" spans="1:25" ht="18" x14ac:dyDescent="0.3">
      <c r="A13" s="114" t="s">
        <v>105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 spans="1:25" ht="15" thickBot="1" x14ac:dyDescent="0.35">
      <c r="A14" s="115" t="s">
        <v>0</v>
      </c>
      <c r="B14" s="108" t="s">
        <v>26</v>
      </c>
      <c r="C14" s="108" t="s">
        <v>1</v>
      </c>
      <c r="D14" s="108" t="s">
        <v>2</v>
      </c>
      <c r="E14" s="119" t="s">
        <v>3</v>
      </c>
      <c r="F14" s="108" t="s">
        <v>4</v>
      </c>
      <c r="G14" s="108" t="s">
        <v>5</v>
      </c>
      <c r="H14" s="109" t="s">
        <v>6</v>
      </c>
      <c r="I14" s="115" t="s">
        <v>45</v>
      </c>
      <c r="J14" s="115" t="s">
        <v>7</v>
      </c>
      <c r="K14" s="108" t="s">
        <v>8</v>
      </c>
      <c r="L14" s="108" t="s">
        <v>9</v>
      </c>
      <c r="M14" s="108" t="s">
        <v>10</v>
      </c>
      <c r="N14" s="109" t="s">
        <v>11</v>
      </c>
      <c r="O14" s="115" t="s">
        <v>27</v>
      </c>
      <c r="P14" s="108"/>
      <c r="Q14" s="108"/>
      <c r="R14" s="108"/>
      <c r="S14" s="108" t="s">
        <v>16</v>
      </c>
      <c r="T14" s="109"/>
      <c r="U14" s="110" t="s">
        <v>44</v>
      </c>
      <c r="V14" s="111"/>
      <c r="W14" s="112"/>
      <c r="X14" s="112"/>
      <c r="Y14" s="113"/>
    </row>
    <row r="15" spans="1:25" ht="21" thickBot="1" x14ac:dyDescent="0.35">
      <c r="A15" s="116"/>
      <c r="B15" s="117"/>
      <c r="C15" s="117"/>
      <c r="D15" s="118"/>
      <c r="E15" s="120"/>
      <c r="F15" s="118"/>
      <c r="G15" s="117"/>
      <c r="H15" s="121"/>
      <c r="I15" s="116" t="s">
        <v>45</v>
      </c>
      <c r="J15" s="116"/>
      <c r="K15" s="117"/>
      <c r="L15" s="117"/>
      <c r="M15" s="117"/>
      <c r="N15" s="121"/>
      <c r="O15" s="3" t="s">
        <v>12</v>
      </c>
      <c r="P15" s="4" t="s">
        <v>13</v>
      </c>
      <c r="Q15" s="4" t="s">
        <v>14</v>
      </c>
      <c r="R15" s="4" t="s">
        <v>15</v>
      </c>
      <c r="S15" s="4" t="s">
        <v>17</v>
      </c>
      <c r="T15" s="23" t="s">
        <v>15</v>
      </c>
      <c r="U15" s="17" t="s">
        <v>18</v>
      </c>
      <c r="V15" s="22" t="s">
        <v>19</v>
      </c>
      <c r="W15" s="19" t="s">
        <v>46</v>
      </c>
      <c r="X15" s="20" t="s">
        <v>20</v>
      </c>
      <c r="Y15" s="21" t="s">
        <v>21</v>
      </c>
    </row>
    <row r="16" spans="1:25" ht="25.95" customHeight="1" x14ac:dyDescent="0.3">
      <c r="A16" s="11" t="s">
        <v>76</v>
      </c>
      <c r="B16" s="13"/>
      <c r="C16" s="18" t="s">
        <v>89</v>
      </c>
      <c r="D16" s="71">
        <v>1</v>
      </c>
      <c r="E16" s="5">
        <f>SUM(E21:E35)</f>
        <v>57270</v>
      </c>
      <c r="F16" s="52">
        <f>D16*E16</f>
        <v>57270</v>
      </c>
      <c r="G16" s="7">
        <v>0.8</v>
      </c>
      <c r="H16" s="5">
        <f>F16*G16</f>
        <v>45816</v>
      </c>
      <c r="I16" s="8">
        <v>0.85</v>
      </c>
      <c r="J16" s="7">
        <v>220</v>
      </c>
      <c r="K16" s="7">
        <v>3</v>
      </c>
      <c r="L16" s="8">
        <f>F16/(J16*I16*(IF(K16=3,1.73,1)))</f>
        <v>177.02698525547896</v>
      </c>
      <c r="M16" s="8">
        <f>L16*1.25</f>
        <v>221.2837315693487</v>
      </c>
      <c r="N16" s="15" t="s">
        <v>43</v>
      </c>
      <c r="O16" s="9">
        <v>95</v>
      </c>
      <c r="P16" s="7"/>
      <c r="Q16" s="10">
        <v>35</v>
      </c>
      <c r="R16" s="11" t="s">
        <v>24</v>
      </c>
      <c r="S16" s="7" t="s">
        <v>133</v>
      </c>
      <c r="T16" s="7" t="s">
        <v>25</v>
      </c>
      <c r="U16" s="7">
        <v>1</v>
      </c>
      <c r="V16" s="12">
        <v>100</v>
      </c>
      <c r="W16" s="8"/>
      <c r="X16" s="8">
        <f t="shared" ref="X16" si="6">((IF(K16=3,1.73,2)*L16*0.0175*V16*G16)/O16/U16)+W16</f>
        <v>4.5132564030396853</v>
      </c>
      <c r="Y16" s="8">
        <f>X16*100/J16</f>
        <v>2.0514801831998573</v>
      </c>
    </row>
    <row r="17" spans="1:25" x14ac:dyDescent="0.3">
      <c r="A17" s="24"/>
      <c r="B17" s="24"/>
      <c r="C17" s="24"/>
      <c r="D17" s="24"/>
      <c r="E17" s="24"/>
      <c r="F17" s="2"/>
      <c r="G17" s="25"/>
      <c r="H17" s="2"/>
      <c r="I17" s="2"/>
      <c r="J17" s="25"/>
      <c r="K17" s="25"/>
      <c r="L17" s="26"/>
      <c r="M17" s="2"/>
      <c r="N17" s="27"/>
      <c r="O17" s="2"/>
      <c r="P17" s="2"/>
      <c r="Q17" s="2"/>
      <c r="R17" s="28"/>
      <c r="S17" s="29"/>
      <c r="U17" s="25"/>
      <c r="V17" s="30"/>
      <c r="W17" s="30"/>
      <c r="X17" s="2"/>
      <c r="Y17" s="2"/>
    </row>
    <row r="18" spans="1:25" ht="18.600000000000001" thickBot="1" x14ac:dyDescent="0.35">
      <c r="A18" s="127" t="s">
        <v>104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</row>
    <row r="19" spans="1:25" ht="15" thickBot="1" x14ac:dyDescent="0.35">
      <c r="A19" s="123" t="s">
        <v>0</v>
      </c>
      <c r="B19" s="124" t="s">
        <v>26</v>
      </c>
      <c r="C19" s="124" t="s">
        <v>1</v>
      </c>
      <c r="D19" s="124" t="s">
        <v>2</v>
      </c>
      <c r="E19" s="125" t="s">
        <v>3</v>
      </c>
      <c r="F19" s="124" t="s">
        <v>4</v>
      </c>
      <c r="G19" s="124" t="s">
        <v>5</v>
      </c>
      <c r="H19" s="126" t="s">
        <v>6</v>
      </c>
      <c r="I19" s="123" t="s">
        <v>45</v>
      </c>
      <c r="J19" s="123" t="s">
        <v>7</v>
      </c>
      <c r="K19" s="124" t="s">
        <v>8</v>
      </c>
      <c r="L19" s="124" t="s">
        <v>9</v>
      </c>
      <c r="M19" s="124" t="s">
        <v>10</v>
      </c>
      <c r="N19" s="126" t="s">
        <v>11</v>
      </c>
      <c r="O19" s="123" t="s">
        <v>27</v>
      </c>
      <c r="P19" s="124"/>
      <c r="Q19" s="124"/>
      <c r="R19" s="124"/>
      <c r="S19" s="124" t="s">
        <v>16</v>
      </c>
      <c r="T19" s="126"/>
      <c r="U19" s="128" t="s">
        <v>44</v>
      </c>
      <c r="V19" s="129"/>
      <c r="W19" s="130"/>
      <c r="X19" s="130"/>
      <c r="Y19" s="131"/>
    </row>
    <row r="20" spans="1:25" ht="21" thickBot="1" x14ac:dyDescent="0.35">
      <c r="A20" s="116"/>
      <c r="B20" s="117"/>
      <c r="C20" s="117"/>
      <c r="D20" s="118"/>
      <c r="E20" s="120"/>
      <c r="F20" s="117"/>
      <c r="G20" s="117"/>
      <c r="H20" s="121"/>
      <c r="I20" s="116" t="s">
        <v>45</v>
      </c>
      <c r="J20" s="116"/>
      <c r="K20" s="117"/>
      <c r="L20" s="117"/>
      <c r="M20" s="117"/>
      <c r="N20" s="121"/>
      <c r="O20" s="3" t="s">
        <v>12</v>
      </c>
      <c r="P20" s="4" t="s">
        <v>13</v>
      </c>
      <c r="Q20" s="4" t="s">
        <v>14</v>
      </c>
      <c r="R20" s="4" t="s">
        <v>15</v>
      </c>
      <c r="S20" s="4" t="s">
        <v>17</v>
      </c>
      <c r="T20" s="23" t="s">
        <v>15</v>
      </c>
      <c r="U20" s="17" t="s">
        <v>18</v>
      </c>
      <c r="V20" s="22" t="s">
        <v>19</v>
      </c>
      <c r="W20" s="19" t="s">
        <v>46</v>
      </c>
      <c r="X20" s="20" t="s">
        <v>20</v>
      </c>
      <c r="Y20" s="21" t="s">
        <v>21</v>
      </c>
    </row>
    <row r="21" spans="1:25" s="101" customFormat="1" x14ac:dyDescent="0.3">
      <c r="A21" s="92" t="s">
        <v>30</v>
      </c>
      <c r="B21" s="93" t="s">
        <v>91</v>
      </c>
      <c r="C21" s="94" t="s">
        <v>147</v>
      </c>
      <c r="D21" s="95">
        <v>1</v>
      </c>
      <c r="E21" s="96">
        <v>8400</v>
      </c>
      <c r="F21" s="97">
        <f t="shared" ref="F21:F22" si="7">D21*E21</f>
        <v>8400</v>
      </c>
      <c r="G21" s="98">
        <v>0.8</v>
      </c>
      <c r="H21" s="10">
        <f t="shared" ref="H21:H22" si="8">F21*G21</f>
        <v>6720</v>
      </c>
      <c r="I21" s="10">
        <v>0.8</v>
      </c>
      <c r="J21" s="98">
        <v>220</v>
      </c>
      <c r="K21" s="98">
        <v>3</v>
      </c>
      <c r="L21" s="10">
        <f t="shared" ref="L21:L35" si="9">F21/(J21*I21*(IF(K21=3,1.73,1)))</f>
        <v>27.588018917498683</v>
      </c>
      <c r="M21" s="10">
        <f t="shared" ref="M21:M35" si="10">L21*1.25</f>
        <v>34.485023646873351</v>
      </c>
      <c r="N21" s="99" t="s">
        <v>132</v>
      </c>
      <c r="O21" s="10">
        <v>10</v>
      </c>
      <c r="P21" s="98"/>
      <c r="Q21" s="10">
        <v>6</v>
      </c>
      <c r="R21" s="92" t="s">
        <v>98</v>
      </c>
      <c r="S21" s="98" t="s">
        <v>139</v>
      </c>
      <c r="T21" s="98" t="s">
        <v>25</v>
      </c>
      <c r="U21" s="98">
        <v>1</v>
      </c>
      <c r="V21" s="100">
        <v>15</v>
      </c>
      <c r="W21" s="10">
        <f t="shared" ref="W21:W35" si="11">$X$16</f>
        <v>4.5132564030396853</v>
      </c>
      <c r="X21" s="10">
        <f t="shared" ref="X21" si="12">((IF(K21=3,1.73,2)*L21*0.0175*V21*G21)/O21/U21)+W21</f>
        <v>5.5155291303124123</v>
      </c>
      <c r="Y21" s="10">
        <f t="shared" ref="Y21" si="13">X21*100/J21</f>
        <v>2.5070586955965513</v>
      </c>
    </row>
    <row r="22" spans="1:25" s="101" customFormat="1" x14ac:dyDescent="0.3">
      <c r="A22" s="92" t="s">
        <v>31</v>
      </c>
      <c r="B22" s="93" t="s">
        <v>91</v>
      </c>
      <c r="C22" s="94" t="s">
        <v>148</v>
      </c>
      <c r="D22" s="95">
        <v>1</v>
      </c>
      <c r="E22" s="96">
        <v>6800</v>
      </c>
      <c r="F22" s="97">
        <f t="shared" si="7"/>
        <v>6800</v>
      </c>
      <c r="G22" s="98">
        <v>0.8</v>
      </c>
      <c r="H22" s="10">
        <f t="shared" si="8"/>
        <v>5440</v>
      </c>
      <c r="I22" s="10">
        <v>0.8</v>
      </c>
      <c r="J22" s="98">
        <v>220</v>
      </c>
      <c r="K22" s="98">
        <v>3</v>
      </c>
      <c r="L22" s="10">
        <f t="shared" si="9"/>
        <v>22.333158171308458</v>
      </c>
      <c r="M22" s="10">
        <f t="shared" si="10"/>
        <v>27.916447714135572</v>
      </c>
      <c r="N22" s="99" t="s">
        <v>41</v>
      </c>
      <c r="O22" s="10">
        <v>6</v>
      </c>
      <c r="P22" s="98"/>
      <c r="Q22" s="10">
        <v>4</v>
      </c>
      <c r="R22" s="92" t="s">
        <v>98</v>
      </c>
      <c r="S22" s="98" t="s">
        <v>42</v>
      </c>
      <c r="T22" s="98" t="s">
        <v>25</v>
      </c>
      <c r="U22" s="98">
        <v>1</v>
      </c>
      <c r="V22" s="100">
        <v>8</v>
      </c>
      <c r="W22" s="10">
        <f t="shared" si="11"/>
        <v>4.5132564030396853</v>
      </c>
      <c r="X22" s="10">
        <f t="shared" ref="X22:X35" si="14">((IF(K22=3,1.73,2)*L22*0.0175*V22*G22)/O22/U22)+W22</f>
        <v>5.2344685242518061</v>
      </c>
      <c r="Y22" s="10">
        <f t="shared" ref="Y22:Y35" si="15">X22*100/J22</f>
        <v>2.3793038746599118</v>
      </c>
    </row>
    <row r="23" spans="1:25" s="101" customFormat="1" x14ac:dyDescent="0.3">
      <c r="A23" s="92" t="s">
        <v>32</v>
      </c>
      <c r="B23" s="93" t="s">
        <v>91</v>
      </c>
      <c r="C23" s="94" t="s">
        <v>149</v>
      </c>
      <c r="D23" s="95">
        <v>1</v>
      </c>
      <c r="E23" s="96">
        <v>3750</v>
      </c>
      <c r="F23" s="97">
        <f t="shared" ref="F23" si="16">D23*E23</f>
        <v>3750</v>
      </c>
      <c r="G23" s="98">
        <v>0.8</v>
      </c>
      <c r="H23" s="10">
        <f t="shared" ref="H23" si="17">F23*G23</f>
        <v>3000</v>
      </c>
      <c r="I23" s="10">
        <v>0.8</v>
      </c>
      <c r="J23" s="98">
        <v>220</v>
      </c>
      <c r="K23" s="98">
        <v>2</v>
      </c>
      <c r="L23" s="10">
        <f t="shared" ref="L23" si="18">F23/(J23*I23*(IF(K23=3,1.73,1)))</f>
        <v>21.306818181818183</v>
      </c>
      <c r="M23" s="10">
        <f t="shared" ref="M23" si="19">L23*1.25</f>
        <v>26.63352272727273</v>
      </c>
      <c r="N23" s="99" t="s">
        <v>135</v>
      </c>
      <c r="O23" s="10">
        <v>6</v>
      </c>
      <c r="P23" s="98"/>
      <c r="Q23" s="10">
        <v>6</v>
      </c>
      <c r="R23" s="92" t="s">
        <v>98</v>
      </c>
      <c r="S23" s="98" t="s">
        <v>139</v>
      </c>
      <c r="T23" s="98" t="s">
        <v>25</v>
      </c>
      <c r="U23" s="98">
        <v>1</v>
      </c>
      <c r="V23" s="100">
        <v>15</v>
      </c>
      <c r="W23" s="10">
        <f t="shared" si="11"/>
        <v>4.5132564030396853</v>
      </c>
      <c r="X23" s="10">
        <f t="shared" si="14"/>
        <v>6.0047336757669587</v>
      </c>
      <c r="Y23" s="10">
        <f t="shared" si="15"/>
        <v>2.7294243980758903</v>
      </c>
    </row>
    <row r="24" spans="1:25" s="101" customFormat="1" x14ac:dyDescent="0.3">
      <c r="A24" s="92" t="s">
        <v>33</v>
      </c>
      <c r="B24" s="93" t="s">
        <v>91</v>
      </c>
      <c r="C24" s="94" t="s">
        <v>150</v>
      </c>
      <c r="D24" s="95">
        <v>1</v>
      </c>
      <c r="E24" s="96">
        <v>6200</v>
      </c>
      <c r="F24" s="97">
        <f t="shared" ref="F24" si="20">D24*E24</f>
        <v>6200</v>
      </c>
      <c r="G24" s="98">
        <v>0.8</v>
      </c>
      <c r="H24" s="10">
        <f t="shared" ref="H24" si="21">F24*G24</f>
        <v>4960</v>
      </c>
      <c r="I24" s="10">
        <v>0.8</v>
      </c>
      <c r="J24" s="98">
        <v>220</v>
      </c>
      <c r="K24" s="98">
        <v>2</v>
      </c>
      <c r="L24" s="10">
        <f t="shared" ref="L24" si="22">F24/(J24*I24*(IF(K24=3,1.73,1)))</f>
        <v>35.227272727272727</v>
      </c>
      <c r="M24" s="10">
        <f t="shared" ref="M24" si="23">L24*1.25</f>
        <v>44.034090909090907</v>
      </c>
      <c r="N24" s="99" t="s">
        <v>151</v>
      </c>
      <c r="O24" s="10">
        <v>10</v>
      </c>
      <c r="P24" s="98"/>
      <c r="Q24" s="10">
        <v>6</v>
      </c>
      <c r="R24" s="92" t="s">
        <v>98</v>
      </c>
      <c r="S24" s="98" t="s">
        <v>139</v>
      </c>
      <c r="T24" s="98" t="s">
        <v>25</v>
      </c>
      <c r="U24" s="98">
        <v>1</v>
      </c>
      <c r="V24" s="100">
        <v>8</v>
      </c>
      <c r="W24" s="10">
        <f t="shared" si="11"/>
        <v>4.5132564030396853</v>
      </c>
      <c r="X24" s="10">
        <f t="shared" si="14"/>
        <v>5.3023473121305944</v>
      </c>
      <c r="Y24" s="10">
        <f t="shared" si="15"/>
        <v>2.4101578691502703</v>
      </c>
    </row>
    <row r="25" spans="1:25" x14ac:dyDescent="0.3">
      <c r="A25" s="11" t="s">
        <v>34</v>
      </c>
      <c r="B25" s="53" t="s">
        <v>91</v>
      </c>
      <c r="C25" s="53" t="s">
        <v>118</v>
      </c>
      <c r="D25" s="71">
        <v>1</v>
      </c>
      <c r="E25" s="73">
        <v>4000</v>
      </c>
      <c r="F25" s="52">
        <f t="shared" ref="F25:F30" si="24">D25*E25</f>
        <v>4000</v>
      </c>
      <c r="G25" s="7">
        <v>0.8</v>
      </c>
      <c r="H25" s="5">
        <f t="shared" ref="H25:H30" si="25">F25*G25</f>
        <v>3200</v>
      </c>
      <c r="I25" s="8">
        <v>0.8</v>
      </c>
      <c r="J25" s="7">
        <v>220</v>
      </c>
      <c r="K25" s="7">
        <v>2</v>
      </c>
      <c r="L25" s="8">
        <f t="shared" si="9"/>
        <v>22.727272727272727</v>
      </c>
      <c r="M25" s="8">
        <f t="shared" si="10"/>
        <v>28.409090909090907</v>
      </c>
      <c r="N25" s="70" t="s">
        <v>135</v>
      </c>
      <c r="O25" s="9">
        <v>6</v>
      </c>
      <c r="P25" s="7"/>
      <c r="Q25" s="10">
        <v>4</v>
      </c>
      <c r="R25" s="11" t="s">
        <v>98</v>
      </c>
      <c r="S25" s="7" t="s">
        <v>42</v>
      </c>
      <c r="T25" s="7" t="s">
        <v>25</v>
      </c>
      <c r="U25" s="7">
        <v>1</v>
      </c>
      <c r="V25" s="12">
        <v>12</v>
      </c>
      <c r="W25" s="8">
        <f t="shared" si="11"/>
        <v>4.5132564030396853</v>
      </c>
      <c r="X25" s="8">
        <f t="shared" si="14"/>
        <v>5.7859836757669587</v>
      </c>
      <c r="Y25" s="8">
        <f t="shared" si="15"/>
        <v>2.629992579894072</v>
      </c>
    </row>
    <row r="26" spans="1:25" x14ac:dyDescent="0.3">
      <c r="A26" s="11" t="s">
        <v>35</v>
      </c>
      <c r="B26" s="55" t="s">
        <v>92</v>
      </c>
      <c r="C26" s="55" t="s">
        <v>119</v>
      </c>
      <c r="D26" s="71">
        <v>1</v>
      </c>
      <c r="E26" s="73">
        <v>6500</v>
      </c>
      <c r="F26" s="52">
        <f t="shared" si="24"/>
        <v>6500</v>
      </c>
      <c r="G26" s="7">
        <v>0.8</v>
      </c>
      <c r="H26" s="5">
        <f t="shared" si="25"/>
        <v>5200</v>
      </c>
      <c r="I26" s="8">
        <v>0.8</v>
      </c>
      <c r="J26" s="16">
        <v>220</v>
      </c>
      <c r="K26" s="16">
        <v>3</v>
      </c>
      <c r="L26" s="8">
        <f t="shared" si="9"/>
        <v>21.347871781397792</v>
      </c>
      <c r="M26" s="8">
        <f t="shared" si="10"/>
        <v>26.684839726747242</v>
      </c>
      <c r="N26" s="70" t="s">
        <v>41</v>
      </c>
      <c r="O26" s="9">
        <v>6</v>
      </c>
      <c r="P26" s="7"/>
      <c r="Q26" s="10">
        <v>4</v>
      </c>
      <c r="R26" s="11" t="s">
        <v>98</v>
      </c>
      <c r="S26" s="7" t="s">
        <v>42</v>
      </c>
      <c r="T26" s="7" t="s">
        <v>25</v>
      </c>
      <c r="U26" s="7">
        <v>1</v>
      </c>
      <c r="V26" s="12">
        <v>15</v>
      </c>
      <c r="W26" s="8">
        <f t="shared" si="11"/>
        <v>4.5132564030396853</v>
      </c>
      <c r="X26" s="8">
        <f t="shared" si="14"/>
        <v>5.805870039403322</v>
      </c>
      <c r="Y26" s="8">
        <f t="shared" si="15"/>
        <v>2.6390318360924194</v>
      </c>
    </row>
    <row r="27" spans="1:25" x14ac:dyDescent="0.3">
      <c r="A27" s="11" t="s">
        <v>36</v>
      </c>
      <c r="B27" s="55" t="s">
        <v>92</v>
      </c>
      <c r="C27" s="55" t="s">
        <v>121</v>
      </c>
      <c r="D27" s="71">
        <v>1</v>
      </c>
      <c r="E27" s="73">
        <v>4000</v>
      </c>
      <c r="F27" s="52">
        <f t="shared" si="24"/>
        <v>4000</v>
      </c>
      <c r="G27" s="7">
        <v>0.8</v>
      </c>
      <c r="H27" s="5">
        <f t="shared" si="25"/>
        <v>3200</v>
      </c>
      <c r="I27" s="8">
        <v>0.8</v>
      </c>
      <c r="J27" s="7">
        <v>220</v>
      </c>
      <c r="K27" s="7">
        <v>2</v>
      </c>
      <c r="L27" s="8">
        <f t="shared" si="9"/>
        <v>22.727272727272727</v>
      </c>
      <c r="M27" s="8">
        <f t="shared" si="10"/>
        <v>28.409090909090907</v>
      </c>
      <c r="N27" s="70" t="s">
        <v>135</v>
      </c>
      <c r="O27" s="9">
        <v>6</v>
      </c>
      <c r="P27" s="7"/>
      <c r="Q27" s="10">
        <v>4</v>
      </c>
      <c r="R27" s="11" t="s">
        <v>98</v>
      </c>
      <c r="S27" s="7" t="s">
        <v>42</v>
      </c>
      <c r="T27" s="7" t="s">
        <v>25</v>
      </c>
      <c r="U27" s="7">
        <v>1</v>
      </c>
      <c r="V27" s="12">
        <v>15</v>
      </c>
      <c r="W27" s="8">
        <f t="shared" si="11"/>
        <v>4.5132564030396853</v>
      </c>
      <c r="X27" s="8">
        <f t="shared" si="14"/>
        <v>6.1041654939487762</v>
      </c>
      <c r="Y27" s="8">
        <f t="shared" si="15"/>
        <v>2.7746206790676253</v>
      </c>
    </row>
    <row r="28" spans="1:25" x14ac:dyDescent="0.3">
      <c r="A28" s="11" t="s">
        <v>37</v>
      </c>
      <c r="B28" s="54" t="s">
        <v>93</v>
      </c>
      <c r="C28" s="54" t="s">
        <v>122</v>
      </c>
      <c r="D28" s="71">
        <v>1</v>
      </c>
      <c r="E28" s="73">
        <v>5400</v>
      </c>
      <c r="F28" s="52">
        <f t="shared" si="24"/>
        <v>5400</v>
      </c>
      <c r="G28" s="7">
        <v>0.8</v>
      </c>
      <c r="H28" s="52">
        <f t="shared" si="25"/>
        <v>4320</v>
      </c>
      <c r="I28" s="8">
        <v>0.8</v>
      </c>
      <c r="J28" s="16">
        <v>220</v>
      </c>
      <c r="K28" s="16">
        <v>3</v>
      </c>
      <c r="L28" s="8">
        <f t="shared" si="9"/>
        <v>17.73515501839201</v>
      </c>
      <c r="M28" s="8">
        <f t="shared" si="10"/>
        <v>22.168943772990012</v>
      </c>
      <c r="N28" s="70" t="s">
        <v>136</v>
      </c>
      <c r="O28" s="9">
        <v>4</v>
      </c>
      <c r="P28" s="7"/>
      <c r="Q28" s="10">
        <v>4</v>
      </c>
      <c r="R28" s="11" t="s">
        <v>98</v>
      </c>
      <c r="S28" s="7" t="s">
        <v>23</v>
      </c>
      <c r="T28" s="7" t="s">
        <v>25</v>
      </c>
      <c r="U28" s="7">
        <v>1</v>
      </c>
      <c r="V28" s="12">
        <v>12</v>
      </c>
      <c r="W28" s="8">
        <f t="shared" si="11"/>
        <v>4.5132564030396853</v>
      </c>
      <c r="X28" s="8">
        <f t="shared" si="14"/>
        <v>5.8018927666760494</v>
      </c>
      <c r="Y28" s="8">
        <f t="shared" si="15"/>
        <v>2.6372239848527501</v>
      </c>
    </row>
    <row r="29" spans="1:25" x14ac:dyDescent="0.3">
      <c r="A29" s="11" t="s">
        <v>38</v>
      </c>
      <c r="B29" s="54" t="s">
        <v>93</v>
      </c>
      <c r="C29" s="54" t="s">
        <v>123</v>
      </c>
      <c r="D29" s="71">
        <v>1</v>
      </c>
      <c r="E29" s="74">
        <v>4000</v>
      </c>
      <c r="F29" s="52">
        <f t="shared" si="24"/>
        <v>4000</v>
      </c>
      <c r="G29" s="7">
        <v>0.8</v>
      </c>
      <c r="H29" s="52">
        <f t="shared" si="25"/>
        <v>3200</v>
      </c>
      <c r="I29" s="8">
        <v>0.8</v>
      </c>
      <c r="J29" s="16">
        <v>220</v>
      </c>
      <c r="K29" s="16">
        <v>2</v>
      </c>
      <c r="L29" s="8">
        <f t="shared" ref="L29:L30" si="26">F29/(J29*I29*(IF(K29=3,1.73,1)))</f>
        <v>22.727272727272727</v>
      </c>
      <c r="M29" s="8">
        <f t="shared" ref="M29:M30" si="27">L29*1.25</f>
        <v>28.409090909090907</v>
      </c>
      <c r="N29" s="70" t="s">
        <v>135</v>
      </c>
      <c r="O29" s="9">
        <v>6</v>
      </c>
      <c r="P29" s="7"/>
      <c r="Q29" s="10">
        <v>4</v>
      </c>
      <c r="R29" s="11" t="s">
        <v>98</v>
      </c>
      <c r="S29" s="7" t="s">
        <v>42</v>
      </c>
      <c r="T29" s="7" t="s">
        <v>25</v>
      </c>
      <c r="U29" s="7">
        <v>1</v>
      </c>
      <c r="V29" s="12">
        <v>15</v>
      </c>
      <c r="W29" s="8">
        <f t="shared" si="11"/>
        <v>4.5132564030396853</v>
      </c>
      <c r="X29" s="8">
        <f t="shared" si="14"/>
        <v>6.1041654939487762</v>
      </c>
      <c r="Y29" s="8">
        <f t="shared" si="15"/>
        <v>2.7746206790676253</v>
      </c>
    </row>
    <row r="30" spans="1:25" s="44" customFormat="1" x14ac:dyDescent="0.3">
      <c r="A30" s="82" t="s">
        <v>39</v>
      </c>
      <c r="B30" s="83" t="s">
        <v>91</v>
      </c>
      <c r="C30" s="83" t="s">
        <v>124</v>
      </c>
      <c r="D30" s="84">
        <v>1</v>
      </c>
      <c r="E30" s="85">
        <v>2237</v>
      </c>
      <c r="F30" s="52">
        <f t="shared" si="24"/>
        <v>2237</v>
      </c>
      <c r="G30" s="86">
        <v>0.8</v>
      </c>
      <c r="H30" s="52">
        <f t="shared" si="25"/>
        <v>1789.6000000000001</v>
      </c>
      <c r="I30" s="87">
        <v>0.8</v>
      </c>
      <c r="J30" s="88">
        <v>220</v>
      </c>
      <c r="K30" s="88">
        <v>3</v>
      </c>
      <c r="L30" s="87">
        <f t="shared" si="26"/>
        <v>7.3469521807672091</v>
      </c>
      <c r="M30" s="87">
        <f t="shared" si="27"/>
        <v>9.1836902259590119</v>
      </c>
      <c r="N30" s="89" t="s">
        <v>137</v>
      </c>
      <c r="O30" s="9">
        <v>2.5</v>
      </c>
      <c r="P30" s="86"/>
      <c r="Q30" s="10">
        <v>2.5</v>
      </c>
      <c r="R30" s="82" t="s">
        <v>98</v>
      </c>
      <c r="S30" s="86" t="s">
        <v>23</v>
      </c>
      <c r="T30" s="86" t="s">
        <v>25</v>
      </c>
      <c r="U30" s="86">
        <v>1</v>
      </c>
      <c r="V30" s="90">
        <v>15</v>
      </c>
      <c r="W30" s="87">
        <f t="shared" si="11"/>
        <v>4.5132564030396853</v>
      </c>
      <c r="X30" s="87">
        <f t="shared" si="14"/>
        <v>5.5809154939487762</v>
      </c>
      <c r="Y30" s="87">
        <f t="shared" si="15"/>
        <v>2.5367797699767163</v>
      </c>
    </row>
    <row r="31" spans="1:25" s="44" customFormat="1" x14ac:dyDescent="0.3">
      <c r="A31" s="82" t="s">
        <v>94</v>
      </c>
      <c r="B31" s="83" t="s">
        <v>91</v>
      </c>
      <c r="C31" s="83" t="s">
        <v>125</v>
      </c>
      <c r="D31" s="84">
        <v>1</v>
      </c>
      <c r="E31" s="85">
        <v>746</v>
      </c>
      <c r="F31" s="52">
        <f t="shared" ref="F31:F34" si="28">D31*E31</f>
        <v>746</v>
      </c>
      <c r="G31" s="86">
        <v>0.8</v>
      </c>
      <c r="H31" s="52">
        <f t="shared" ref="H31" si="29">F31*G31</f>
        <v>596.80000000000007</v>
      </c>
      <c r="I31" s="87">
        <v>0.8</v>
      </c>
      <c r="J31" s="88">
        <v>220</v>
      </c>
      <c r="K31" s="88">
        <v>2</v>
      </c>
      <c r="L31" s="87">
        <f t="shared" si="9"/>
        <v>4.2386363636363633</v>
      </c>
      <c r="M31" s="87">
        <f t="shared" si="10"/>
        <v>5.2982954545454541</v>
      </c>
      <c r="N31" s="89" t="s">
        <v>138</v>
      </c>
      <c r="O31" s="9">
        <v>2.5</v>
      </c>
      <c r="P31" s="86"/>
      <c r="Q31" s="10">
        <v>2.5</v>
      </c>
      <c r="R31" s="82" t="s">
        <v>98</v>
      </c>
      <c r="S31" s="86" t="s">
        <v>23</v>
      </c>
      <c r="T31" s="86" t="s">
        <v>25</v>
      </c>
      <c r="U31" s="86">
        <v>1</v>
      </c>
      <c r="V31" s="90">
        <v>15</v>
      </c>
      <c r="W31" s="87">
        <f t="shared" si="11"/>
        <v>4.5132564030396853</v>
      </c>
      <c r="X31" s="87">
        <f t="shared" si="14"/>
        <v>5.2253473121305944</v>
      </c>
      <c r="Y31" s="87">
        <f t="shared" si="15"/>
        <v>2.3751578691502702</v>
      </c>
    </row>
    <row r="32" spans="1:25" s="44" customFormat="1" x14ac:dyDescent="0.3">
      <c r="A32" s="82" t="s">
        <v>95</v>
      </c>
      <c r="B32" s="91" t="s">
        <v>92</v>
      </c>
      <c r="C32" s="91" t="s">
        <v>126</v>
      </c>
      <c r="D32" s="84">
        <v>1</v>
      </c>
      <c r="E32" s="85">
        <v>2237</v>
      </c>
      <c r="F32" s="52">
        <f t="shared" si="28"/>
        <v>2237</v>
      </c>
      <c r="G32" s="86">
        <v>0.8</v>
      </c>
      <c r="H32" s="52">
        <f t="shared" ref="H32:H34" si="30">F32*G32</f>
        <v>1789.6000000000001</v>
      </c>
      <c r="I32" s="87">
        <v>0.8</v>
      </c>
      <c r="J32" s="88">
        <v>220</v>
      </c>
      <c r="K32" s="88">
        <v>3</v>
      </c>
      <c r="L32" s="87">
        <f t="shared" ref="L32:L34" si="31">F32/(J32*I32*(IF(K32=3,1.73,1)))</f>
        <v>7.3469521807672091</v>
      </c>
      <c r="M32" s="87">
        <f t="shared" ref="M32:M34" si="32">L32*1.25</f>
        <v>9.1836902259590119</v>
      </c>
      <c r="N32" s="89" t="s">
        <v>137</v>
      </c>
      <c r="O32" s="9">
        <v>2.5</v>
      </c>
      <c r="P32" s="86"/>
      <c r="Q32" s="10">
        <v>2.5</v>
      </c>
      <c r="R32" s="82" t="s">
        <v>98</v>
      </c>
      <c r="S32" s="86" t="s">
        <v>23</v>
      </c>
      <c r="T32" s="86" t="s">
        <v>25</v>
      </c>
      <c r="U32" s="86">
        <v>1</v>
      </c>
      <c r="V32" s="90">
        <v>18</v>
      </c>
      <c r="W32" s="87">
        <f t="shared" si="11"/>
        <v>4.5132564030396853</v>
      </c>
      <c r="X32" s="87">
        <f t="shared" si="14"/>
        <v>5.7944473121305951</v>
      </c>
      <c r="Y32" s="87">
        <f t="shared" si="15"/>
        <v>2.6338396873320886</v>
      </c>
    </row>
    <row r="33" spans="1:25" s="44" customFormat="1" x14ac:dyDescent="0.3">
      <c r="A33" s="82" t="s">
        <v>99</v>
      </c>
      <c r="B33" s="91" t="s">
        <v>92</v>
      </c>
      <c r="C33" s="91" t="s">
        <v>127</v>
      </c>
      <c r="D33" s="84">
        <v>1</v>
      </c>
      <c r="E33" s="85">
        <v>500</v>
      </c>
      <c r="F33" s="52">
        <f t="shared" ref="F33" si="33">D33*E33</f>
        <v>500</v>
      </c>
      <c r="G33" s="86">
        <v>1.8</v>
      </c>
      <c r="H33" s="52">
        <f t="shared" ref="H33" si="34">F33*G33</f>
        <v>900</v>
      </c>
      <c r="I33" s="87">
        <v>0.8</v>
      </c>
      <c r="J33" s="88">
        <v>220</v>
      </c>
      <c r="K33" s="88">
        <v>2</v>
      </c>
      <c r="L33" s="87">
        <f t="shared" ref="L33" si="35">F33/(J33*I33*(IF(K33=3,1.73,1)))</f>
        <v>2.8409090909090908</v>
      </c>
      <c r="M33" s="87">
        <f t="shared" ref="M33" si="36">L33*1.25</f>
        <v>3.5511363636363633</v>
      </c>
      <c r="N33" s="89" t="s">
        <v>138</v>
      </c>
      <c r="O33" s="9">
        <v>2.5</v>
      </c>
      <c r="P33" s="86"/>
      <c r="Q33" s="10">
        <v>2.5</v>
      </c>
      <c r="R33" s="82" t="s">
        <v>98</v>
      </c>
      <c r="S33" s="86" t="s">
        <v>23</v>
      </c>
      <c r="T33" s="86" t="s">
        <v>25</v>
      </c>
      <c r="U33" s="86">
        <v>1</v>
      </c>
      <c r="V33" s="90">
        <v>18</v>
      </c>
      <c r="W33" s="87">
        <f t="shared" si="11"/>
        <v>4.5132564030396853</v>
      </c>
      <c r="X33" s="87">
        <f t="shared" ref="X33" si="37">((IF(K33=3,1.73,2)*L33*0.0175*V33*G33)/O33/U33)+W33</f>
        <v>5.8018927666760494</v>
      </c>
      <c r="Y33" s="87">
        <f t="shared" ref="Y33" si="38">X33*100/J33</f>
        <v>2.6372239848527501</v>
      </c>
    </row>
    <row r="34" spans="1:25" x14ac:dyDescent="0.3">
      <c r="A34" s="11" t="s">
        <v>100</v>
      </c>
      <c r="B34" s="13"/>
      <c r="C34" s="72" t="s">
        <v>28</v>
      </c>
      <c r="D34" s="71">
        <v>1</v>
      </c>
      <c r="E34" s="74">
        <v>1000</v>
      </c>
      <c r="F34" s="52">
        <f t="shared" si="28"/>
        <v>1000</v>
      </c>
      <c r="G34" s="7">
        <v>0.8</v>
      </c>
      <c r="H34" s="52">
        <f t="shared" si="30"/>
        <v>800</v>
      </c>
      <c r="I34" s="8">
        <v>0.8</v>
      </c>
      <c r="J34" s="16">
        <v>220</v>
      </c>
      <c r="K34" s="16">
        <v>2</v>
      </c>
      <c r="L34" s="8">
        <f t="shared" si="31"/>
        <v>5.6818181818181817</v>
      </c>
      <c r="M34" s="8">
        <f t="shared" si="32"/>
        <v>7.1022727272727266</v>
      </c>
      <c r="N34" s="70" t="s">
        <v>22</v>
      </c>
      <c r="O34" s="9">
        <v>4</v>
      </c>
      <c r="P34" s="7"/>
      <c r="Q34" s="10">
        <v>4</v>
      </c>
      <c r="R34" s="11" t="s">
        <v>98</v>
      </c>
      <c r="S34" s="7" t="s">
        <v>23</v>
      </c>
      <c r="T34" s="7" t="s">
        <v>25</v>
      </c>
      <c r="U34" s="7">
        <v>1</v>
      </c>
      <c r="V34" s="12">
        <v>5</v>
      </c>
      <c r="W34" s="8">
        <f t="shared" si="11"/>
        <v>4.5132564030396853</v>
      </c>
      <c r="X34" s="8">
        <f t="shared" si="14"/>
        <v>4.712120039403322</v>
      </c>
      <c r="Y34" s="8">
        <f t="shared" si="15"/>
        <v>2.1418727451833282</v>
      </c>
    </row>
    <row r="35" spans="1:25" x14ac:dyDescent="0.3">
      <c r="A35" s="11" t="s">
        <v>134</v>
      </c>
      <c r="B35" s="13"/>
      <c r="C35" s="72" t="s">
        <v>29</v>
      </c>
      <c r="D35" s="71">
        <v>1</v>
      </c>
      <c r="E35" s="75">
        <v>1500</v>
      </c>
      <c r="F35" s="52">
        <f t="shared" ref="F35" si="39">D35*E35</f>
        <v>1500</v>
      </c>
      <c r="G35" s="7">
        <v>0.8</v>
      </c>
      <c r="H35" s="5">
        <f t="shared" ref="H35" si="40">F35*G35</f>
        <v>1200</v>
      </c>
      <c r="I35" s="8">
        <v>0.8</v>
      </c>
      <c r="J35" s="16">
        <v>220</v>
      </c>
      <c r="K35" s="16">
        <v>2</v>
      </c>
      <c r="L35" s="8">
        <f t="shared" si="9"/>
        <v>8.5227272727272734</v>
      </c>
      <c r="M35" s="8">
        <f t="shared" si="10"/>
        <v>10.653409090909092</v>
      </c>
      <c r="N35" s="70" t="s">
        <v>135</v>
      </c>
      <c r="O35" s="9">
        <v>4</v>
      </c>
      <c r="P35" s="7"/>
      <c r="Q35" s="10">
        <v>4</v>
      </c>
      <c r="R35" s="11" t="s">
        <v>98</v>
      </c>
      <c r="S35" s="7" t="s">
        <v>23</v>
      </c>
      <c r="T35" s="7" t="s">
        <v>25</v>
      </c>
      <c r="U35" s="7">
        <v>1</v>
      </c>
      <c r="V35" s="12">
        <v>8</v>
      </c>
      <c r="W35" s="8">
        <f t="shared" si="11"/>
        <v>4.5132564030396853</v>
      </c>
      <c r="X35" s="8">
        <f t="shared" si="14"/>
        <v>4.9905291303124129</v>
      </c>
      <c r="Y35" s="8">
        <f t="shared" si="15"/>
        <v>2.2684223319601879</v>
      </c>
    </row>
    <row r="37" spans="1:25" ht="18" x14ac:dyDescent="0.3">
      <c r="A37" s="114" t="s">
        <v>106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</row>
    <row r="38" spans="1:25" ht="15" thickBot="1" x14ac:dyDescent="0.35">
      <c r="A38" s="115" t="s">
        <v>0</v>
      </c>
      <c r="B38" s="108" t="s">
        <v>26</v>
      </c>
      <c r="C38" s="108" t="s">
        <v>1</v>
      </c>
      <c r="D38" s="108" t="s">
        <v>2</v>
      </c>
      <c r="E38" s="119" t="s">
        <v>3</v>
      </c>
      <c r="F38" s="108" t="s">
        <v>4</v>
      </c>
      <c r="G38" s="108" t="s">
        <v>5</v>
      </c>
      <c r="H38" s="109" t="s">
        <v>6</v>
      </c>
      <c r="I38" s="115" t="s">
        <v>45</v>
      </c>
      <c r="J38" s="115" t="s">
        <v>7</v>
      </c>
      <c r="K38" s="108" t="s">
        <v>8</v>
      </c>
      <c r="L38" s="108" t="s">
        <v>81</v>
      </c>
      <c r="M38" s="108" t="s">
        <v>10</v>
      </c>
      <c r="N38" s="109" t="s">
        <v>11</v>
      </c>
      <c r="O38" s="115" t="s">
        <v>27</v>
      </c>
      <c r="P38" s="108"/>
      <c r="Q38" s="108"/>
      <c r="R38" s="108"/>
      <c r="S38" s="108" t="s">
        <v>16</v>
      </c>
      <c r="T38" s="109"/>
      <c r="U38" s="110" t="s">
        <v>44</v>
      </c>
      <c r="V38" s="111"/>
      <c r="W38" s="112"/>
      <c r="X38" s="112"/>
      <c r="Y38" s="113"/>
    </row>
    <row r="39" spans="1:25" ht="21" thickBot="1" x14ac:dyDescent="0.35">
      <c r="A39" s="116"/>
      <c r="B39" s="117"/>
      <c r="C39" s="117"/>
      <c r="D39" s="118"/>
      <c r="E39" s="120"/>
      <c r="F39" s="118"/>
      <c r="G39" s="118"/>
      <c r="H39" s="121"/>
      <c r="I39" s="116" t="s">
        <v>45</v>
      </c>
      <c r="J39" s="116"/>
      <c r="K39" s="117"/>
      <c r="L39" s="117"/>
      <c r="M39" s="117"/>
      <c r="N39" s="121"/>
      <c r="O39" s="3" t="s">
        <v>12</v>
      </c>
      <c r="P39" s="4" t="s">
        <v>13</v>
      </c>
      <c r="Q39" s="4" t="s">
        <v>14</v>
      </c>
      <c r="R39" s="4" t="s">
        <v>15</v>
      </c>
      <c r="S39" s="4" t="s">
        <v>17</v>
      </c>
      <c r="T39" s="23" t="s">
        <v>15</v>
      </c>
      <c r="U39" s="17" t="s">
        <v>18</v>
      </c>
      <c r="V39" s="22" t="s">
        <v>19</v>
      </c>
      <c r="W39" s="19" t="s">
        <v>46</v>
      </c>
      <c r="X39" s="20" t="s">
        <v>20</v>
      </c>
      <c r="Y39" s="21" t="s">
        <v>21</v>
      </c>
    </row>
    <row r="40" spans="1:25" x14ac:dyDescent="0.3">
      <c r="A40" s="11"/>
      <c r="B40" s="14"/>
      <c r="C40" s="18" t="s">
        <v>101</v>
      </c>
      <c r="D40" s="71">
        <v>1</v>
      </c>
      <c r="E40" s="5">
        <f>SUM(F41:F45)</f>
        <v>11426</v>
      </c>
      <c r="F40" s="52">
        <f t="shared" ref="F40" si="41">D40*E40</f>
        <v>11426</v>
      </c>
      <c r="G40" s="16">
        <v>0.8</v>
      </c>
      <c r="H40" s="5">
        <f t="shared" ref="H40" si="42">F40*G40</f>
        <v>9140.8000000000011</v>
      </c>
      <c r="I40" s="8">
        <v>0.85</v>
      </c>
      <c r="J40" s="7">
        <v>220</v>
      </c>
      <c r="K40" s="7">
        <v>3</v>
      </c>
      <c r="L40" s="8">
        <f>F40/(J40*I40*(IF(K40=3,1.73,1)))</f>
        <v>35.318846403511486</v>
      </c>
      <c r="M40" s="8">
        <f>L40*1.25</f>
        <v>44.148558004389358</v>
      </c>
      <c r="N40" s="70" t="s">
        <v>40</v>
      </c>
      <c r="O40" s="9">
        <v>10</v>
      </c>
      <c r="P40" s="7"/>
      <c r="Q40" s="10">
        <v>4</v>
      </c>
      <c r="R40" s="11" t="s">
        <v>24</v>
      </c>
      <c r="S40" s="7" t="s">
        <v>23</v>
      </c>
      <c r="T40" s="7" t="s">
        <v>25</v>
      </c>
      <c r="U40" s="7">
        <v>1</v>
      </c>
      <c r="V40" s="12">
        <v>50</v>
      </c>
      <c r="W40" s="8"/>
      <c r="X40" s="8">
        <f>((IF(K40=3,1.73,2)*L40*0.0175*V40*G40)/O40/U40)+W40</f>
        <v>4.2771122994652417</v>
      </c>
      <c r="Y40" s="8">
        <f t="shared" ref="Y40:Y45" si="43">X40*100/J40</f>
        <v>1.9441419543023826</v>
      </c>
    </row>
    <row r="41" spans="1:25" ht="17.399999999999999" customHeight="1" x14ac:dyDescent="0.3">
      <c r="A41" s="11" t="s">
        <v>30</v>
      </c>
      <c r="B41" s="14"/>
      <c r="C41" s="18" t="s">
        <v>78</v>
      </c>
      <c r="D41" s="71">
        <v>16</v>
      </c>
      <c r="E41" s="5">
        <v>36</v>
      </c>
      <c r="F41" s="52">
        <f t="shared" ref="F41:F44" si="44">D41*E41</f>
        <v>576</v>
      </c>
      <c r="G41" s="16">
        <v>0.8</v>
      </c>
      <c r="H41" s="5">
        <f t="shared" ref="H41:H44" si="45">F41*G41</f>
        <v>460.8</v>
      </c>
      <c r="I41" s="8">
        <v>0.85</v>
      </c>
      <c r="J41" s="7">
        <v>220</v>
      </c>
      <c r="K41" s="7">
        <v>2</v>
      </c>
      <c r="L41" s="8">
        <f>F41/(J41*I41*(IF(K41=3,1.73,1)))</f>
        <v>3.0802139037433154</v>
      </c>
      <c r="M41" s="8">
        <f>L41*1.25</f>
        <v>3.8502673796791442</v>
      </c>
      <c r="N41" s="70" t="s">
        <v>82</v>
      </c>
      <c r="O41" s="9">
        <v>4</v>
      </c>
      <c r="P41" s="7"/>
      <c r="Q41" s="10">
        <v>4</v>
      </c>
      <c r="R41" s="11" t="s">
        <v>98</v>
      </c>
      <c r="S41" s="7" t="s">
        <v>23</v>
      </c>
      <c r="T41" s="7" t="s">
        <v>25</v>
      </c>
      <c r="U41" s="7">
        <v>1</v>
      </c>
      <c r="V41" s="12">
        <v>20</v>
      </c>
      <c r="W41" s="8">
        <f>$X$40</f>
        <v>4.2771122994652417</v>
      </c>
      <c r="X41" s="8">
        <f>((IF(K41=3,1.73,2)*L41*0.0175*V41*G41)/O41/U41)+W41</f>
        <v>4.7083422459893063</v>
      </c>
      <c r="Y41" s="8">
        <f t="shared" si="43"/>
        <v>2.1401555663587755</v>
      </c>
    </row>
    <row r="42" spans="1:25" x14ac:dyDescent="0.3">
      <c r="A42" s="11" t="s">
        <v>31</v>
      </c>
      <c r="B42" s="13"/>
      <c r="C42" s="18" t="s">
        <v>79</v>
      </c>
      <c r="D42" s="71">
        <v>7</v>
      </c>
      <c r="E42" s="5">
        <v>500</v>
      </c>
      <c r="F42" s="52">
        <f t="shared" si="44"/>
        <v>3500</v>
      </c>
      <c r="G42" s="16">
        <v>1</v>
      </c>
      <c r="H42" s="5">
        <f t="shared" si="45"/>
        <v>3500</v>
      </c>
      <c r="I42" s="8">
        <v>0.85</v>
      </c>
      <c r="J42" s="7">
        <v>220</v>
      </c>
      <c r="K42" s="7">
        <v>2</v>
      </c>
      <c r="L42" s="8">
        <f t="shared" ref="L42:L44" si="46">F42/(J42*I42*(IF(K42=3,1.73,1)))</f>
        <v>18.71657754010695</v>
      </c>
      <c r="M42" s="8">
        <f t="shared" ref="M42:M44" si="47">L42*1.25</f>
        <v>23.395721925133689</v>
      </c>
      <c r="N42" s="70" t="s">
        <v>83</v>
      </c>
      <c r="O42" s="9">
        <v>4</v>
      </c>
      <c r="P42" s="7"/>
      <c r="Q42" s="10">
        <v>4</v>
      </c>
      <c r="R42" s="11" t="s">
        <v>98</v>
      </c>
      <c r="S42" s="7" t="s">
        <v>23</v>
      </c>
      <c r="T42" s="7" t="s">
        <v>25</v>
      </c>
      <c r="U42" s="7">
        <v>1</v>
      </c>
      <c r="V42" s="12">
        <v>20</v>
      </c>
      <c r="W42" s="8">
        <f t="shared" ref="W42:W44" si="48">$X$40</f>
        <v>4.2771122994652417</v>
      </c>
      <c r="X42" s="8">
        <f t="shared" ref="X42:X44" si="49">((IF(K42=3,1.73,2)*L42*0.0175*V42*G42)/O42/U42)+W42</f>
        <v>7.5525133689839583</v>
      </c>
      <c r="Y42" s="8">
        <f t="shared" si="43"/>
        <v>3.4329606222654356</v>
      </c>
    </row>
    <row r="43" spans="1:25" ht="20.399999999999999" x14ac:dyDescent="0.3">
      <c r="A43" s="11" t="s">
        <v>32</v>
      </c>
      <c r="B43" s="13"/>
      <c r="C43" s="18" t="s">
        <v>80</v>
      </c>
      <c r="D43" s="71">
        <v>7</v>
      </c>
      <c r="E43" s="5">
        <v>500</v>
      </c>
      <c r="F43" s="52">
        <f t="shared" si="44"/>
        <v>3500</v>
      </c>
      <c r="G43" s="16">
        <v>0.8</v>
      </c>
      <c r="H43" s="5">
        <f t="shared" si="45"/>
        <v>2800</v>
      </c>
      <c r="I43" s="8">
        <v>0.85</v>
      </c>
      <c r="J43" s="7">
        <v>220</v>
      </c>
      <c r="K43" s="7">
        <v>2</v>
      </c>
      <c r="L43" s="8">
        <f t="shared" si="46"/>
        <v>18.71657754010695</v>
      </c>
      <c r="M43" s="8">
        <f t="shared" si="47"/>
        <v>23.395721925133689</v>
      </c>
      <c r="N43" s="70" t="s">
        <v>83</v>
      </c>
      <c r="O43" s="9">
        <v>4</v>
      </c>
      <c r="P43" s="7"/>
      <c r="Q43" s="10">
        <v>4</v>
      </c>
      <c r="R43" s="11" t="s">
        <v>98</v>
      </c>
      <c r="S43" s="7" t="s">
        <v>23</v>
      </c>
      <c r="T43" s="7" t="s">
        <v>25</v>
      </c>
      <c r="U43" s="7">
        <v>1</v>
      </c>
      <c r="V43" s="12">
        <v>10</v>
      </c>
      <c r="W43" s="8">
        <f t="shared" si="48"/>
        <v>4.2771122994652417</v>
      </c>
      <c r="X43" s="8">
        <f t="shared" si="49"/>
        <v>5.5872727272727287</v>
      </c>
      <c r="Y43" s="8">
        <f t="shared" si="43"/>
        <v>2.5396694214876039</v>
      </c>
    </row>
    <row r="44" spans="1:25" x14ac:dyDescent="0.3">
      <c r="A44" s="11" t="s">
        <v>33</v>
      </c>
      <c r="B44" s="13"/>
      <c r="C44" s="18" t="s">
        <v>84</v>
      </c>
      <c r="D44" s="71">
        <v>4</v>
      </c>
      <c r="E44" s="5">
        <v>350</v>
      </c>
      <c r="F44" s="52">
        <f t="shared" si="44"/>
        <v>1400</v>
      </c>
      <c r="G44" s="16">
        <v>0.8</v>
      </c>
      <c r="H44" s="5">
        <f t="shared" si="45"/>
        <v>1120</v>
      </c>
      <c r="I44" s="8">
        <v>0.85</v>
      </c>
      <c r="J44" s="7">
        <v>220</v>
      </c>
      <c r="K44" s="7">
        <v>2</v>
      </c>
      <c r="L44" s="8">
        <f t="shared" si="46"/>
        <v>7.4866310160427805</v>
      </c>
      <c r="M44" s="8">
        <f t="shared" si="47"/>
        <v>9.3582887700534751</v>
      </c>
      <c r="N44" s="70" t="s">
        <v>22</v>
      </c>
      <c r="O44" s="9">
        <v>4</v>
      </c>
      <c r="P44" s="7"/>
      <c r="Q44" s="10">
        <v>4</v>
      </c>
      <c r="R44" s="11" t="s">
        <v>98</v>
      </c>
      <c r="S44" s="7" t="s">
        <v>23</v>
      </c>
      <c r="T44" s="7" t="s">
        <v>25</v>
      </c>
      <c r="U44" s="7">
        <v>1</v>
      </c>
      <c r="V44" s="12">
        <v>20</v>
      </c>
      <c r="W44" s="8">
        <f t="shared" si="48"/>
        <v>4.2771122994652417</v>
      </c>
      <c r="X44" s="8">
        <f t="shared" si="49"/>
        <v>5.3252406417112308</v>
      </c>
      <c r="Y44" s="8">
        <f t="shared" si="43"/>
        <v>2.4205639280505595</v>
      </c>
    </row>
    <row r="45" spans="1:25" x14ac:dyDescent="0.3">
      <c r="A45" s="11" t="s">
        <v>34</v>
      </c>
      <c r="B45" s="13"/>
      <c r="C45" s="18" t="s">
        <v>85</v>
      </c>
      <c r="D45" s="71">
        <v>7</v>
      </c>
      <c r="E45" s="5">
        <v>350</v>
      </c>
      <c r="F45" s="52">
        <f t="shared" ref="F45" si="50">D45*E45</f>
        <v>2450</v>
      </c>
      <c r="G45" s="16">
        <v>0.8</v>
      </c>
      <c r="H45" s="5">
        <f t="shared" ref="H45" si="51">F45*G45</f>
        <v>1960</v>
      </c>
      <c r="I45" s="8">
        <v>0.85</v>
      </c>
      <c r="J45" s="7">
        <v>220</v>
      </c>
      <c r="K45" s="7">
        <v>2</v>
      </c>
      <c r="L45" s="8">
        <f t="shared" ref="L45" si="52">F45/(J45*I45*(IF(K45=3,1.73,1)))</f>
        <v>13.101604278074866</v>
      </c>
      <c r="M45" s="8">
        <f t="shared" ref="M45" si="53">L45*1.25</f>
        <v>16.377005347593581</v>
      </c>
      <c r="N45" s="70" t="s">
        <v>22</v>
      </c>
      <c r="O45" s="9">
        <v>4</v>
      </c>
      <c r="P45" s="7"/>
      <c r="Q45" s="10">
        <v>4</v>
      </c>
      <c r="R45" s="11" t="s">
        <v>98</v>
      </c>
      <c r="S45" s="7" t="s">
        <v>23</v>
      </c>
      <c r="T45" s="7" t="s">
        <v>25</v>
      </c>
      <c r="U45" s="7">
        <v>1</v>
      </c>
      <c r="V45" s="12">
        <v>20</v>
      </c>
      <c r="W45" s="8">
        <f>$X$40</f>
        <v>4.2771122994652417</v>
      </c>
      <c r="X45" s="8">
        <f t="shared" ref="X45" si="54">((IF(K45=3,1.73,2)*L45*0.0175*V45*G45)/O45/U45)+W45</f>
        <v>6.1113368983957237</v>
      </c>
      <c r="Y45" s="8">
        <f t="shared" si="43"/>
        <v>2.7778804083616926</v>
      </c>
    </row>
  </sheetData>
  <mergeCells count="72">
    <mergeCell ref="U38:Y38"/>
    <mergeCell ref="L38:L39"/>
    <mergeCell ref="M38:M39"/>
    <mergeCell ref="N38:N39"/>
    <mergeCell ref="N19:N20"/>
    <mergeCell ref="O19:R19"/>
    <mergeCell ref="S19:T19"/>
    <mergeCell ref="O38:R38"/>
    <mergeCell ref="S38:T38"/>
    <mergeCell ref="D19:D20"/>
    <mergeCell ref="E19:E20"/>
    <mergeCell ref="F19:F20"/>
    <mergeCell ref="A37:Y37"/>
    <mergeCell ref="U19:Y19"/>
    <mergeCell ref="G19:G20"/>
    <mergeCell ref="H19:H20"/>
    <mergeCell ref="J19:J20"/>
    <mergeCell ref="K19:K20"/>
    <mergeCell ref="C19:C20"/>
    <mergeCell ref="F38:F39"/>
    <mergeCell ref="G38:G39"/>
    <mergeCell ref="H38:H39"/>
    <mergeCell ref="J38:J39"/>
    <mergeCell ref="K38:K39"/>
    <mergeCell ref="A38:A39"/>
    <mergeCell ref="B38:B39"/>
    <mergeCell ref="C38:C39"/>
    <mergeCell ref="M3:M4"/>
    <mergeCell ref="N3:N4"/>
    <mergeCell ref="I38:I39"/>
    <mergeCell ref="D38:D39"/>
    <mergeCell ref="E38:E39"/>
    <mergeCell ref="L19:L20"/>
    <mergeCell ref="M19:M20"/>
    <mergeCell ref="A19:A20"/>
    <mergeCell ref="A18:Y18"/>
    <mergeCell ref="U3:Y3"/>
    <mergeCell ref="I19:I20"/>
    <mergeCell ref="I3:I4"/>
    <mergeCell ref="B19:B20"/>
    <mergeCell ref="N14:N15"/>
    <mergeCell ref="O14:R14"/>
    <mergeCell ref="A2:Y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  <mergeCell ref="O3:R3"/>
    <mergeCell ref="S3:T3"/>
    <mergeCell ref="S14:T14"/>
    <mergeCell ref="U14:Y14"/>
    <mergeCell ref="A13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</mergeCells>
  <phoneticPr fontId="14" type="noConversion"/>
  <conditionalFormatting sqref="Y1:Y1048576">
    <cfRule type="cellIs" dxfId="0" priority="1" operator="greaterThan">
      <formula>4</formula>
    </cfRule>
  </conditionalFormatting>
  <pageMargins left="0.7" right="0.7" top="0.75" bottom="0.75" header="0.3" footer="0.3"/>
  <pageSetup paperSize="3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CUADRO DE CARGAS</vt:lpstr>
      <vt:lpstr>CUADRO DE CAIDA DE TENSION</vt:lpstr>
      <vt:lpstr>'CUADRO DE CARGAS'!Área_de_impresión</vt:lpstr>
      <vt:lpstr>'CUADRO DE CAIDA DE TENSION'!Print_Area</vt:lpstr>
      <vt:lpstr>'CUADRO DE CARGAS'!Print_Area</vt:lpstr>
      <vt:lpstr>TF_AA_MRI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MARICRUZ ROJAS</dc:creator>
  <cp:lastModifiedBy>premium</cp:lastModifiedBy>
  <cp:lastPrinted>2024-03-01T19:09:53Z</cp:lastPrinted>
  <dcterms:created xsi:type="dcterms:W3CDTF">2022-08-17T16:12:02Z</dcterms:created>
  <dcterms:modified xsi:type="dcterms:W3CDTF">2024-06-24T18:55:58Z</dcterms:modified>
</cp:coreProperties>
</file>