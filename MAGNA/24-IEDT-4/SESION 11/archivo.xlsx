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C3BEF98D-4517-4722-BDAF-935F5A7B11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,5 HP (AD)" sheetId="12" r:id="rId1"/>
    <sheet name="15 HP (AET)" sheetId="4" r:id="rId2"/>
    <sheet name="10 HP (AET)" sheetId="9" r:id="rId3"/>
    <sheet name="7,5 HP (AET)" sheetId="10" r:id="rId4"/>
    <sheet name="5 HP (AET)" sheetId="8" r:id="rId5"/>
    <sheet name="2 HP (AD)" sheetId="7" r:id="rId6"/>
    <sheet name="1,5 HP (AD)" sheetId="11" r:id="rId7"/>
    <sheet name="0,75 HP (AD)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3" l="1"/>
  <c r="D6" i="13" s="1"/>
  <c r="D9" i="13" s="1"/>
  <c r="D10" i="10"/>
  <c r="C6" i="12"/>
  <c r="D6" i="12" s="1"/>
  <c r="C6" i="11"/>
  <c r="D6" i="11" s="1"/>
  <c r="D9" i="11" s="1"/>
  <c r="D9" i="10"/>
  <c r="C6" i="10"/>
  <c r="D6" i="10" s="1"/>
  <c r="D9" i="9"/>
  <c r="C6" i="9"/>
  <c r="D6" i="9" s="1"/>
  <c r="D10" i="9" s="1"/>
  <c r="D6" i="8"/>
  <c r="D10" i="8" s="1"/>
  <c r="D9" i="8"/>
  <c r="C6" i="8"/>
  <c r="C6" i="7"/>
  <c r="D6" i="7" s="1"/>
  <c r="E6" i="7" s="1"/>
  <c r="D9" i="4"/>
  <c r="C6" i="4"/>
  <c r="D6" i="4" s="1"/>
  <c r="D10" i="4" s="1"/>
  <c r="D9" i="7" l="1"/>
  <c r="D9" i="12"/>
  <c r="D8" i="13"/>
  <c r="E6" i="13"/>
  <c r="D8" i="12"/>
  <c r="E6" i="12"/>
  <c r="D8" i="11"/>
  <c r="E6" i="11"/>
  <c r="E6" i="10"/>
  <c r="D8" i="10"/>
  <c r="E6" i="9"/>
  <c r="D8" i="9"/>
  <c r="E6" i="8"/>
  <c r="D8" i="8"/>
  <c r="D8" i="7"/>
  <c r="E6" i="4"/>
  <c r="D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martinez</author>
  </authors>
  <commentList>
    <comment ref="E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  <comment ref="E8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martinez</author>
  </authors>
  <commentList>
    <comment ref="E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  <comment ref="E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martinez</author>
  </authors>
  <commentList>
    <comment ref="E6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  <comment ref="E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martinez</author>
  </authors>
  <commentList>
    <comment ref="E6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  <comment ref="E8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martinez</author>
  </authors>
  <commentList>
    <comment ref="E6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  <comment ref="E8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dario martinez</author>
  </authors>
  <commentList>
    <comment ref="E6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  <comment ref="E8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dario martinez:</t>
        </r>
        <r>
          <rPr>
            <sz val="8"/>
            <color indexed="81"/>
            <rFont val="Tahoma"/>
            <family val="2"/>
          </rPr>
          <t xml:space="preserve">
Se redondea a un valor comercial.</t>
        </r>
      </text>
    </comment>
  </commentList>
</comments>
</file>

<file path=xl/sharedStrings.xml><?xml version="1.0" encoding="utf-8"?>
<sst xmlns="http://schemas.openxmlformats.org/spreadsheetml/2006/main" count="105" uniqueCount="29">
  <si>
    <t>In</t>
  </si>
  <si>
    <t>TENSIÓN:</t>
  </si>
  <si>
    <t>Potencia
(En W)</t>
  </si>
  <si>
    <t>Potencia
(En HP)</t>
  </si>
  <si>
    <t>Relé Termico                     ==&gt;</t>
  </si>
  <si>
    <t>Contactor Triángulo        ==&gt;</t>
  </si>
  <si>
    <t>Contactor Estrella           ==&gt;</t>
  </si>
  <si>
    <t>&lt; 16 , 24&gt;</t>
  </si>
  <si>
    <t>ARRANQUE ESTRELLA TRIANGULO</t>
  </si>
  <si>
    <t>ARRANQUE DIRECTO</t>
  </si>
  <si>
    <t>Contactor                           ==&gt;</t>
  </si>
  <si>
    <t>AC3</t>
  </si>
  <si>
    <t>XTCE032C10B</t>
  </si>
  <si>
    <t>XTCE018C10B</t>
  </si>
  <si>
    <t>XTCE009B10B</t>
  </si>
  <si>
    <t>QC3015</t>
  </si>
  <si>
    <t>QC3090</t>
  </si>
  <si>
    <t>QC3050</t>
  </si>
  <si>
    <t>QC3040</t>
  </si>
  <si>
    <t>QC3030</t>
  </si>
  <si>
    <t>&lt; 24 , 32&gt;</t>
  </si>
  <si>
    <t>&lt; 12 , 16&gt;</t>
  </si>
  <si>
    <t>&lt; 6 , 10&gt;</t>
  </si>
  <si>
    <t>monofásico</t>
  </si>
  <si>
    <t>&lt; 4.0 , 6.0&gt;</t>
  </si>
  <si>
    <t>&lt; 2.4 , 4.0&gt;</t>
  </si>
  <si>
    <t>XTOB004BC1</t>
  </si>
  <si>
    <t xml:space="preserve">modelo del rele </t>
  </si>
  <si>
    <t>modelo del km1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</si>
</sst>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V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Normal" xfId="0" builtinId="0"/>
    <cellStyle name="Normal 2" xfId="1" xr:uid="{5D661347-45B4-44A2-9741-89224D69B59C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1"/>
  <sheetViews>
    <sheetView tabSelected="1" zoomScale="130" zoomScaleNormal="130" workbookViewId="0">
      <selection activeCell="G8" sqref="G8"/>
    </sheetView>
  </sheetViews>
  <sheetFormatPr baseColWidth="10" defaultColWidth="11.44140625" defaultRowHeight="14.4" x14ac:dyDescent="0.3"/>
  <cols>
    <col min="1" max="1" width="5.33203125" style="1" customWidth="1"/>
    <col min="2" max="2" width="15" style="1" customWidth="1"/>
    <col min="3" max="6" width="11.44140625" style="1"/>
    <col min="7" max="7" width="14.44140625" style="1" customWidth="1"/>
    <col min="8" max="8" width="27.21875" style="1" customWidth="1"/>
    <col min="9" max="16384" width="11.44140625" style="1"/>
  </cols>
  <sheetData>
    <row r="1" spans="2:8" ht="18" x14ac:dyDescent="0.35">
      <c r="B1" s="14" t="s">
        <v>9</v>
      </c>
      <c r="C1" s="14"/>
      <c r="D1" s="14"/>
      <c r="E1" s="14"/>
    </row>
    <row r="3" spans="2:8" x14ac:dyDescent="0.3">
      <c r="B3" s="10" t="s">
        <v>1</v>
      </c>
      <c r="C3" s="11">
        <v>220</v>
      </c>
      <c r="D3" s="11" t="s">
        <v>23</v>
      </c>
    </row>
    <row r="5" spans="2:8" ht="28.8" x14ac:dyDescent="0.3">
      <c r="B5" s="12" t="s">
        <v>3</v>
      </c>
      <c r="C5" s="5" t="s">
        <v>2</v>
      </c>
      <c r="D5" s="2" t="s">
        <v>0</v>
      </c>
    </row>
    <row r="6" spans="2:8" x14ac:dyDescent="0.3">
      <c r="B6" s="13">
        <v>0.5</v>
      </c>
      <c r="C6" s="1">
        <f>746*B6</f>
        <v>373</v>
      </c>
      <c r="D6" s="4">
        <f>(1.25*C6)/(C$3*0.85)</f>
        <v>2.4933155080213902</v>
      </c>
      <c r="E6" s="9">
        <f>2*D6</f>
        <v>4.9866310160427805</v>
      </c>
      <c r="G6" s="1" t="s">
        <v>15</v>
      </c>
    </row>
    <row r="8" spans="2:8" x14ac:dyDescent="0.3">
      <c r="B8" s="6" t="s">
        <v>10</v>
      </c>
      <c r="D8" s="4">
        <f>+D6</f>
        <v>2.4933155080213902</v>
      </c>
      <c r="E8" s="7">
        <v>12</v>
      </c>
      <c r="F8" s="1" t="s">
        <v>11</v>
      </c>
      <c r="G8" s="1" t="s">
        <v>14</v>
      </c>
      <c r="H8" s="15" t="s">
        <v>28</v>
      </c>
    </row>
    <row r="9" spans="2:8" x14ac:dyDescent="0.3">
      <c r="B9" s="6" t="s">
        <v>4</v>
      </c>
      <c r="D9" s="4">
        <f>+D6</f>
        <v>2.4933155080213902</v>
      </c>
      <c r="E9" s="8" t="s">
        <v>25</v>
      </c>
      <c r="G9" s="1" t="s">
        <v>26</v>
      </c>
      <c r="H9" s="15" t="s">
        <v>27</v>
      </c>
    </row>
    <row r="11" spans="2:8" x14ac:dyDescent="0.3">
      <c r="D11" s="5"/>
    </row>
  </sheetData>
  <mergeCells count="1">
    <mergeCell ref="B1:E1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2"/>
  <sheetViews>
    <sheetView zoomScale="130" zoomScaleNormal="130" workbookViewId="0"/>
  </sheetViews>
  <sheetFormatPr baseColWidth="10" defaultColWidth="11.44140625" defaultRowHeight="14.4" x14ac:dyDescent="0.3"/>
  <cols>
    <col min="1" max="1" width="5.33203125" style="1" customWidth="1"/>
    <col min="2" max="2" width="15" style="1" customWidth="1"/>
    <col min="3" max="6" width="11.44140625" style="1"/>
    <col min="7" max="7" width="13" style="1" customWidth="1"/>
    <col min="8" max="16384" width="11.44140625" style="1"/>
  </cols>
  <sheetData>
    <row r="1" spans="2:7" ht="18" x14ac:dyDescent="0.35">
      <c r="B1" s="14" t="s">
        <v>8</v>
      </c>
      <c r="C1" s="14"/>
      <c r="D1" s="14"/>
      <c r="E1" s="14"/>
    </row>
    <row r="3" spans="2:7" x14ac:dyDescent="0.3">
      <c r="B3" s="10" t="s">
        <v>1</v>
      </c>
      <c r="C3" s="11">
        <v>220</v>
      </c>
      <c r="D3" s="3"/>
    </row>
    <row r="5" spans="2:7" ht="28.8" x14ac:dyDescent="0.3">
      <c r="B5" s="12" t="s">
        <v>3</v>
      </c>
      <c r="C5" s="5" t="s">
        <v>2</v>
      </c>
      <c r="D5" s="2" t="s">
        <v>0</v>
      </c>
    </row>
    <row r="6" spans="2:7" x14ac:dyDescent="0.3">
      <c r="B6" s="13">
        <v>15</v>
      </c>
      <c r="C6" s="1">
        <f>746*B6</f>
        <v>11190</v>
      </c>
      <c r="D6" s="4">
        <f>(1.25*C6)/(1.73*$C$3*0.85)</f>
        <v>43.23668511019752</v>
      </c>
      <c r="E6" s="9">
        <f>1.5*D6</f>
        <v>64.855027665296276</v>
      </c>
      <c r="G6" s="1" t="s">
        <v>16</v>
      </c>
    </row>
    <row r="8" spans="2:7" x14ac:dyDescent="0.3">
      <c r="B8" s="6" t="s">
        <v>5</v>
      </c>
      <c r="D8" s="4">
        <f>0.58*D6</f>
        <v>25.077277363914561</v>
      </c>
      <c r="E8" s="7">
        <v>32</v>
      </c>
      <c r="F8" s="1" t="s">
        <v>11</v>
      </c>
      <c r="G8" s="1" t="s">
        <v>12</v>
      </c>
    </row>
    <row r="9" spans="2:7" x14ac:dyDescent="0.3">
      <c r="B9" s="6" t="s">
        <v>6</v>
      </c>
      <c r="D9" s="4">
        <f>0.5*E8</f>
        <v>16</v>
      </c>
      <c r="E9" s="8">
        <v>18</v>
      </c>
      <c r="F9" s="1" t="s">
        <v>11</v>
      </c>
      <c r="G9" s="1" t="s">
        <v>13</v>
      </c>
    </row>
    <row r="10" spans="2:7" x14ac:dyDescent="0.3">
      <c r="B10" s="6" t="s">
        <v>4</v>
      </c>
      <c r="D10" s="4">
        <f>0.58*D6</f>
        <v>25.077277363914561</v>
      </c>
      <c r="E10" s="8" t="s">
        <v>20</v>
      </c>
    </row>
    <row r="12" spans="2:7" x14ac:dyDescent="0.3">
      <c r="D12" s="5"/>
    </row>
  </sheetData>
  <mergeCells count="1">
    <mergeCell ref="B1:E1"/>
  </mergeCell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2"/>
  <sheetViews>
    <sheetView zoomScale="130" zoomScaleNormal="130" workbookViewId="0">
      <selection activeCell="G9" sqref="G9"/>
    </sheetView>
  </sheetViews>
  <sheetFormatPr baseColWidth="10" defaultColWidth="11.44140625" defaultRowHeight="14.4" x14ac:dyDescent="0.3"/>
  <cols>
    <col min="1" max="1" width="5.33203125" style="1" customWidth="1"/>
    <col min="2" max="2" width="15" style="1" customWidth="1"/>
    <col min="3" max="6" width="11.44140625" style="1"/>
    <col min="7" max="7" width="13.5546875" style="1" customWidth="1"/>
    <col min="8" max="16384" width="11.44140625" style="1"/>
  </cols>
  <sheetData>
    <row r="1" spans="2:7" ht="18" x14ac:dyDescent="0.35">
      <c r="B1" s="14" t="s">
        <v>8</v>
      </c>
      <c r="C1" s="14"/>
      <c r="D1" s="14"/>
      <c r="E1" s="14"/>
    </row>
    <row r="3" spans="2:7" x14ac:dyDescent="0.3">
      <c r="B3" s="10" t="s">
        <v>1</v>
      </c>
      <c r="C3" s="11">
        <v>220</v>
      </c>
      <c r="D3" s="3"/>
    </row>
    <row r="5" spans="2:7" ht="28.8" x14ac:dyDescent="0.3">
      <c r="B5" s="12" t="s">
        <v>3</v>
      </c>
      <c r="C5" s="5" t="s">
        <v>2</v>
      </c>
      <c r="D5" s="2" t="s">
        <v>0</v>
      </c>
    </row>
    <row r="6" spans="2:7" x14ac:dyDescent="0.3">
      <c r="B6" s="13">
        <v>10</v>
      </c>
      <c r="C6" s="1">
        <f>746*B6</f>
        <v>7460</v>
      </c>
      <c r="D6" s="4">
        <f>(1.25*C6)/(1.73*$C$3*0.85)</f>
        <v>28.82445674013168</v>
      </c>
      <c r="E6" s="9">
        <f>1.5*D6</f>
        <v>43.23668511019752</v>
      </c>
      <c r="G6" s="1" t="s">
        <v>17</v>
      </c>
    </row>
    <row r="8" spans="2:7" x14ac:dyDescent="0.3">
      <c r="B8" s="6" t="s">
        <v>5</v>
      </c>
      <c r="D8" s="4">
        <f>0.58*D6</f>
        <v>16.718184909276374</v>
      </c>
      <c r="E8" s="7">
        <v>18</v>
      </c>
      <c r="F8" s="1" t="s">
        <v>11</v>
      </c>
      <c r="G8" s="1" t="s">
        <v>13</v>
      </c>
    </row>
    <row r="9" spans="2:7" x14ac:dyDescent="0.3">
      <c r="B9" s="6" t="s">
        <v>6</v>
      </c>
      <c r="D9" s="4">
        <f>0.5*E8</f>
        <v>9</v>
      </c>
      <c r="E9" s="8">
        <v>12</v>
      </c>
      <c r="F9" s="1" t="s">
        <v>11</v>
      </c>
      <c r="G9" s="1" t="s">
        <v>13</v>
      </c>
    </row>
    <row r="10" spans="2:7" x14ac:dyDescent="0.3">
      <c r="B10" s="6" t="s">
        <v>4</v>
      </c>
      <c r="D10" s="4">
        <f>0.58*D6</f>
        <v>16.718184909276374</v>
      </c>
      <c r="E10" s="8" t="s">
        <v>7</v>
      </c>
    </row>
    <row r="12" spans="2:7" x14ac:dyDescent="0.3">
      <c r="D12" s="5"/>
    </row>
  </sheetData>
  <mergeCells count="1">
    <mergeCell ref="B1:E1"/>
  </mergeCell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"/>
  <sheetViews>
    <sheetView zoomScale="130" zoomScaleNormal="130" workbookViewId="0">
      <selection activeCell="G9" sqref="G9"/>
    </sheetView>
  </sheetViews>
  <sheetFormatPr baseColWidth="10" defaultColWidth="11.44140625" defaultRowHeight="14.4" x14ac:dyDescent="0.3"/>
  <cols>
    <col min="1" max="1" width="5.33203125" style="1" customWidth="1"/>
    <col min="2" max="2" width="15" style="1" customWidth="1"/>
    <col min="3" max="6" width="11.44140625" style="1"/>
    <col min="7" max="7" width="14.44140625" style="1" customWidth="1"/>
    <col min="8" max="16384" width="11.44140625" style="1"/>
  </cols>
  <sheetData>
    <row r="1" spans="2:7" ht="18" x14ac:dyDescent="0.35">
      <c r="B1" s="14" t="s">
        <v>8</v>
      </c>
      <c r="C1" s="14"/>
      <c r="D1" s="14"/>
      <c r="E1" s="14"/>
    </row>
    <row r="3" spans="2:7" x14ac:dyDescent="0.3">
      <c r="B3" s="10" t="s">
        <v>1</v>
      </c>
      <c r="C3" s="11">
        <v>220</v>
      </c>
      <c r="D3" s="3"/>
    </row>
    <row r="5" spans="2:7" ht="28.8" x14ac:dyDescent="0.3">
      <c r="B5" s="12" t="s">
        <v>3</v>
      </c>
      <c r="C5" s="5" t="s">
        <v>2</v>
      </c>
      <c r="D5" s="2" t="s">
        <v>0</v>
      </c>
    </row>
    <row r="6" spans="2:7" x14ac:dyDescent="0.3">
      <c r="B6" s="13">
        <v>7.5</v>
      </c>
      <c r="C6" s="1">
        <f>746*B6</f>
        <v>5595</v>
      </c>
      <c r="D6" s="4">
        <f>(1.25*C6)/(1.73*$C$3*0.85)</f>
        <v>21.61834255509876</v>
      </c>
      <c r="E6" s="9">
        <f>1.5*D6</f>
        <v>32.427513832648138</v>
      </c>
      <c r="G6" s="1" t="s">
        <v>18</v>
      </c>
    </row>
    <row r="8" spans="2:7" x14ac:dyDescent="0.3">
      <c r="B8" s="6" t="s">
        <v>5</v>
      </c>
      <c r="D8" s="4">
        <f>0.58*D6</f>
        <v>12.538638681957281</v>
      </c>
      <c r="E8" s="7">
        <v>18</v>
      </c>
      <c r="F8" s="1" t="s">
        <v>11</v>
      </c>
      <c r="G8" s="1" t="s">
        <v>13</v>
      </c>
    </row>
    <row r="9" spans="2:7" x14ac:dyDescent="0.3">
      <c r="B9" s="6" t="s">
        <v>6</v>
      </c>
      <c r="D9" s="4">
        <f>0.5*E8</f>
        <v>9</v>
      </c>
      <c r="E9" s="8">
        <v>9</v>
      </c>
      <c r="F9" s="1" t="s">
        <v>11</v>
      </c>
      <c r="G9" s="1" t="s">
        <v>13</v>
      </c>
    </row>
    <row r="10" spans="2:7" x14ac:dyDescent="0.3">
      <c r="B10" s="6" t="s">
        <v>4</v>
      </c>
      <c r="D10" s="4">
        <f>0.58*D6</f>
        <v>12.538638681957281</v>
      </c>
      <c r="E10" s="8" t="s">
        <v>21</v>
      </c>
    </row>
    <row r="12" spans="2:7" x14ac:dyDescent="0.3">
      <c r="D12" s="5"/>
    </row>
  </sheetData>
  <mergeCells count="1">
    <mergeCell ref="B1:E1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"/>
  <sheetViews>
    <sheetView zoomScale="130" zoomScaleNormal="130" workbookViewId="0">
      <selection activeCell="G9" sqref="G9"/>
    </sheetView>
  </sheetViews>
  <sheetFormatPr baseColWidth="10" defaultColWidth="11.44140625" defaultRowHeight="14.4" x14ac:dyDescent="0.3"/>
  <cols>
    <col min="1" max="1" width="5.33203125" style="1" customWidth="1"/>
    <col min="2" max="2" width="15" style="1" customWidth="1"/>
    <col min="3" max="6" width="11.44140625" style="1"/>
    <col min="7" max="7" width="15.109375" style="1" customWidth="1"/>
    <col min="8" max="16384" width="11.44140625" style="1"/>
  </cols>
  <sheetData>
    <row r="1" spans="2:7" ht="18" x14ac:dyDescent="0.35">
      <c r="B1" s="14" t="s">
        <v>8</v>
      </c>
      <c r="C1" s="14"/>
      <c r="D1" s="14"/>
      <c r="E1" s="14"/>
    </row>
    <row r="3" spans="2:7" x14ac:dyDescent="0.3">
      <c r="B3" s="10" t="s">
        <v>1</v>
      </c>
      <c r="C3" s="11">
        <v>220</v>
      </c>
      <c r="D3" s="3"/>
    </row>
    <row r="5" spans="2:7" ht="28.8" x14ac:dyDescent="0.3">
      <c r="B5" s="12" t="s">
        <v>3</v>
      </c>
      <c r="C5" s="5" t="s">
        <v>2</v>
      </c>
      <c r="D5" s="2" t="s">
        <v>0</v>
      </c>
    </row>
    <row r="6" spans="2:7" x14ac:dyDescent="0.3">
      <c r="B6" s="13">
        <v>5</v>
      </c>
      <c r="C6" s="1">
        <f>746*B6</f>
        <v>3730</v>
      </c>
      <c r="D6" s="4">
        <f>(1.25*C6)/(1.73*$C$3*0.85)</f>
        <v>14.41222837006584</v>
      </c>
      <c r="E6" s="9">
        <f>1.5*D6</f>
        <v>21.61834255509876</v>
      </c>
      <c r="G6" s="1" t="s">
        <v>19</v>
      </c>
    </row>
    <row r="8" spans="2:7" x14ac:dyDescent="0.3">
      <c r="B8" s="6" t="s">
        <v>5</v>
      </c>
      <c r="D8" s="4">
        <f>0.58*D6</f>
        <v>8.3590924546381871</v>
      </c>
      <c r="E8" s="7">
        <v>9</v>
      </c>
      <c r="F8" s="1" t="s">
        <v>11</v>
      </c>
      <c r="G8" s="1" t="s">
        <v>14</v>
      </c>
    </row>
    <row r="9" spans="2:7" x14ac:dyDescent="0.3">
      <c r="B9" s="6" t="s">
        <v>6</v>
      </c>
      <c r="D9" s="4">
        <f>0.5*E8</f>
        <v>4.5</v>
      </c>
      <c r="E9" s="8">
        <v>9</v>
      </c>
      <c r="F9" s="1" t="s">
        <v>11</v>
      </c>
      <c r="G9" s="1" t="s">
        <v>14</v>
      </c>
    </row>
    <row r="10" spans="2:7" x14ac:dyDescent="0.3">
      <c r="B10" s="6" t="s">
        <v>4</v>
      </c>
      <c r="D10" s="4">
        <f>0.58*D6</f>
        <v>8.3590924546381871</v>
      </c>
      <c r="E10" s="8" t="s">
        <v>22</v>
      </c>
    </row>
    <row r="12" spans="2:7" x14ac:dyDescent="0.3">
      <c r="D12" s="5"/>
    </row>
  </sheetData>
  <mergeCells count="1">
    <mergeCell ref="B1:E1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1"/>
  <sheetViews>
    <sheetView zoomScale="130" zoomScaleNormal="130" workbookViewId="0">
      <selection activeCell="D6" sqref="D6"/>
    </sheetView>
  </sheetViews>
  <sheetFormatPr baseColWidth="10" defaultColWidth="11.44140625" defaultRowHeight="14.4" x14ac:dyDescent="0.3"/>
  <cols>
    <col min="1" max="1" width="5.33203125" style="1" customWidth="1"/>
    <col min="2" max="2" width="15" style="1" customWidth="1"/>
    <col min="3" max="6" width="11.44140625" style="1"/>
    <col min="7" max="7" width="13.5546875" style="1" customWidth="1"/>
    <col min="8" max="16384" width="11.44140625" style="1"/>
  </cols>
  <sheetData>
    <row r="1" spans="2:7" ht="18" x14ac:dyDescent="0.35">
      <c r="B1" s="14" t="s">
        <v>9</v>
      </c>
      <c r="C1" s="14"/>
      <c r="D1" s="14"/>
      <c r="E1" s="14"/>
    </row>
    <row r="3" spans="2:7" x14ac:dyDescent="0.3">
      <c r="B3" s="10" t="s">
        <v>1</v>
      </c>
      <c r="C3" s="11">
        <v>220</v>
      </c>
      <c r="D3" s="3"/>
    </row>
    <row r="5" spans="2:7" ht="28.8" x14ac:dyDescent="0.3">
      <c r="B5" s="12" t="s">
        <v>3</v>
      </c>
      <c r="C5" s="5" t="s">
        <v>2</v>
      </c>
      <c r="D5" s="2" t="s">
        <v>0</v>
      </c>
    </row>
    <row r="6" spans="2:7" x14ac:dyDescent="0.3">
      <c r="B6" s="13">
        <v>2</v>
      </c>
      <c r="C6" s="1">
        <f>746*B6</f>
        <v>1492</v>
      </c>
      <c r="D6" s="4">
        <f>(1.25*C6)/(1.73*$C$3*0.85)</f>
        <v>5.7648913480263362</v>
      </c>
      <c r="E6" s="9">
        <f>2*D6</f>
        <v>11.529782696052672</v>
      </c>
      <c r="G6" s="1" t="s">
        <v>15</v>
      </c>
    </row>
    <row r="8" spans="2:7" x14ac:dyDescent="0.3">
      <c r="B8" s="6" t="s">
        <v>10</v>
      </c>
      <c r="D8" s="4">
        <f>+D6</f>
        <v>5.7648913480263362</v>
      </c>
      <c r="E8" s="7">
        <v>9</v>
      </c>
      <c r="F8" s="1" t="s">
        <v>11</v>
      </c>
      <c r="G8" s="1" t="s">
        <v>14</v>
      </c>
    </row>
    <row r="9" spans="2:7" x14ac:dyDescent="0.3">
      <c r="B9" s="6" t="s">
        <v>4</v>
      </c>
      <c r="D9" s="4">
        <f>+D6</f>
        <v>5.7648913480263362</v>
      </c>
      <c r="E9" s="8" t="s">
        <v>22</v>
      </c>
    </row>
    <row r="11" spans="2:7" x14ac:dyDescent="0.3">
      <c r="D11" s="5"/>
    </row>
  </sheetData>
  <mergeCells count="1">
    <mergeCell ref="B1:E1"/>
  </mergeCells>
  <pageMargins left="0.7" right="0.7" top="0.75" bottom="0.75" header="0.3" footer="0.3"/>
  <pageSetup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1"/>
  <sheetViews>
    <sheetView zoomScale="130" zoomScaleNormal="130" workbookViewId="0">
      <selection activeCell="G8" sqref="G8"/>
    </sheetView>
  </sheetViews>
  <sheetFormatPr baseColWidth="10" defaultColWidth="11.44140625" defaultRowHeight="14.4" x14ac:dyDescent="0.3"/>
  <cols>
    <col min="1" max="1" width="5.33203125" style="1" customWidth="1"/>
    <col min="2" max="2" width="15" style="1" customWidth="1"/>
    <col min="3" max="6" width="11.44140625" style="1"/>
    <col min="7" max="7" width="14" style="1" customWidth="1"/>
    <col min="8" max="16384" width="11.44140625" style="1"/>
  </cols>
  <sheetData>
    <row r="1" spans="2:7" ht="18" x14ac:dyDescent="0.35">
      <c r="B1" s="14" t="s">
        <v>9</v>
      </c>
      <c r="C1" s="14"/>
      <c r="D1" s="14"/>
      <c r="E1" s="14"/>
    </row>
    <row r="3" spans="2:7" x14ac:dyDescent="0.3">
      <c r="B3" s="10" t="s">
        <v>1</v>
      </c>
      <c r="C3" s="11">
        <v>220</v>
      </c>
      <c r="D3" s="3"/>
    </row>
    <row r="5" spans="2:7" ht="28.8" x14ac:dyDescent="0.3">
      <c r="B5" s="12" t="s">
        <v>3</v>
      </c>
      <c r="C5" s="5" t="s">
        <v>2</v>
      </c>
      <c r="D5" s="2" t="s">
        <v>0</v>
      </c>
    </row>
    <row r="6" spans="2:7" x14ac:dyDescent="0.3">
      <c r="B6" s="13">
        <v>1.5</v>
      </c>
      <c r="C6" s="1">
        <f>746*B6</f>
        <v>1119</v>
      </c>
      <c r="D6" s="4">
        <f>(1.25*C6)/(1.73*$C$3*0.85)</f>
        <v>4.3236685110197524</v>
      </c>
      <c r="E6" s="9">
        <f>2*D6</f>
        <v>8.6473370220395047</v>
      </c>
      <c r="G6" s="1" t="s">
        <v>15</v>
      </c>
    </row>
    <row r="8" spans="2:7" x14ac:dyDescent="0.3">
      <c r="B8" s="6" t="s">
        <v>10</v>
      </c>
      <c r="D8" s="4">
        <f>+D6</f>
        <v>4.3236685110197524</v>
      </c>
      <c r="E8" s="7">
        <v>12</v>
      </c>
      <c r="F8" s="1" t="s">
        <v>11</v>
      </c>
      <c r="G8" s="1" t="s">
        <v>14</v>
      </c>
    </row>
    <row r="9" spans="2:7" x14ac:dyDescent="0.3">
      <c r="B9" s="6" t="s">
        <v>4</v>
      </c>
      <c r="D9" s="4">
        <f>D6</f>
        <v>4.3236685110197524</v>
      </c>
      <c r="E9" s="8" t="s">
        <v>22</v>
      </c>
    </row>
    <row r="11" spans="2:7" x14ac:dyDescent="0.3">
      <c r="D11" s="5"/>
    </row>
  </sheetData>
  <mergeCells count="1">
    <mergeCell ref="B1:E1"/>
  </mergeCells>
  <pageMargins left="0.7" right="0.7" top="0.75" bottom="0.75" header="0.3" footer="0.3"/>
  <pageSetup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1"/>
  <sheetViews>
    <sheetView zoomScale="130" zoomScaleNormal="130" workbookViewId="0">
      <selection activeCell="E9" sqref="E9"/>
    </sheetView>
  </sheetViews>
  <sheetFormatPr baseColWidth="10" defaultColWidth="11.44140625" defaultRowHeight="14.4" x14ac:dyDescent="0.3"/>
  <cols>
    <col min="1" max="1" width="5.33203125" style="1" customWidth="1"/>
    <col min="2" max="2" width="15" style="1" customWidth="1"/>
    <col min="3" max="6" width="11.44140625" style="1"/>
    <col min="7" max="7" width="13.5546875" style="1" customWidth="1"/>
    <col min="8" max="16384" width="11.44140625" style="1"/>
  </cols>
  <sheetData>
    <row r="1" spans="2:7" ht="18" x14ac:dyDescent="0.35">
      <c r="B1" s="14" t="s">
        <v>9</v>
      </c>
      <c r="C1" s="14"/>
      <c r="D1" s="14"/>
      <c r="E1" s="14"/>
    </row>
    <row r="3" spans="2:7" x14ac:dyDescent="0.3">
      <c r="B3" s="10" t="s">
        <v>1</v>
      </c>
      <c r="C3" s="11">
        <v>220</v>
      </c>
      <c r="D3" s="11" t="s">
        <v>23</v>
      </c>
    </row>
    <row r="5" spans="2:7" ht="28.8" x14ac:dyDescent="0.3">
      <c r="B5" s="12" t="s">
        <v>3</v>
      </c>
      <c r="C5" s="5" t="s">
        <v>2</v>
      </c>
      <c r="D5" s="2" t="s">
        <v>0</v>
      </c>
    </row>
    <row r="6" spans="2:7" x14ac:dyDescent="0.3">
      <c r="B6" s="13">
        <v>0.75</v>
      </c>
      <c r="C6" s="1">
        <f>746*B6</f>
        <v>559.5</v>
      </c>
      <c r="D6" s="4">
        <f>(1.25*C6)/($C$3*0.85)</f>
        <v>3.7399732620320854</v>
      </c>
      <c r="E6" s="9">
        <f>2*D6</f>
        <v>7.4799465240641707</v>
      </c>
      <c r="G6" s="1" t="s">
        <v>15</v>
      </c>
    </row>
    <row r="8" spans="2:7" x14ac:dyDescent="0.3">
      <c r="B8" s="6" t="s">
        <v>10</v>
      </c>
      <c r="D8" s="4">
        <f>+D6</f>
        <v>3.7399732620320854</v>
      </c>
      <c r="E8" s="7">
        <v>9</v>
      </c>
      <c r="F8" s="1" t="s">
        <v>11</v>
      </c>
      <c r="G8" s="1" t="s">
        <v>14</v>
      </c>
    </row>
    <row r="9" spans="2:7" x14ac:dyDescent="0.3">
      <c r="B9" s="6" t="s">
        <v>4</v>
      </c>
      <c r="D9" s="4">
        <f>+D6</f>
        <v>3.7399732620320854</v>
      </c>
      <c r="E9" s="8" t="s">
        <v>24</v>
      </c>
    </row>
    <row r="11" spans="2:7" x14ac:dyDescent="0.3">
      <c r="D11" s="5"/>
    </row>
  </sheetData>
  <mergeCells count="1">
    <mergeCell ref="B1:E1"/>
  </mergeCell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0,5 HP (AD)</vt:lpstr>
      <vt:lpstr>15 HP (AET)</vt:lpstr>
      <vt:lpstr>10 HP (AET)</vt:lpstr>
      <vt:lpstr>7,5 HP (AET)</vt:lpstr>
      <vt:lpstr>5 HP (AET)</vt:lpstr>
      <vt:lpstr>2 HP (AD)</vt:lpstr>
      <vt:lpstr>1,5 HP (AD)</vt:lpstr>
      <vt:lpstr>0,75 HP (AD)</vt:lpstr>
    </vt:vector>
  </TitlesOfParts>
  <Company>T.J. CASTRO S.A.C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martinez</dc:creator>
  <cp:lastModifiedBy>premium</cp:lastModifiedBy>
  <cp:lastPrinted>2013-04-30T22:23:59Z</cp:lastPrinted>
  <dcterms:created xsi:type="dcterms:W3CDTF">2013-03-14T21:01:27Z</dcterms:created>
  <dcterms:modified xsi:type="dcterms:W3CDTF">2024-07-02T02:33:52Z</dcterms:modified>
</cp:coreProperties>
</file>