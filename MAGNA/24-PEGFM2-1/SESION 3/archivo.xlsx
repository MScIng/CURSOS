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2 - Producción de la flota minera\"/>
    </mc:Choice>
  </mc:AlternateContent>
  <xr:revisionPtr revIDLastSave="0" documentId="13_ncr:1_{D522C7E8-00B3-4B4A-852F-817DFF8F3641}" xr6:coauthVersionLast="47" xr6:coauthVersionMax="47" xr10:uidLastSave="{00000000-0000-0000-0000-000000000000}"/>
  <bookViews>
    <workbookView xWindow="-120" yWindow="-120" windowWidth="29040" windowHeight="15840" xr2:uid="{607B0131-DDDD-4E67-AC9F-6EF84CE4AA94}"/>
  </bookViews>
  <sheets>
    <sheet name="WE2350" sheetId="1" r:id="rId1"/>
    <sheet name="LH62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C42" i="2" s="1"/>
  <c r="C50" i="2" s="1"/>
  <c r="C27" i="2"/>
  <c r="C29" i="2" s="1"/>
  <c r="C49" i="2" s="1"/>
  <c r="C14" i="2"/>
  <c r="C16" i="2" s="1"/>
  <c r="C48" i="2" s="1"/>
  <c r="C40" i="1"/>
  <c r="C42" i="1" s="1"/>
  <c r="C50" i="1" s="1"/>
  <c r="C27" i="1"/>
  <c r="C29" i="1" s="1"/>
  <c r="C49" i="1" s="1"/>
  <c r="C14" i="1"/>
  <c r="C16" i="1" s="1"/>
  <c r="C48" i="1" s="1"/>
</calcChain>
</file>

<file path=xl/sharedStrings.xml><?xml version="1.0" encoding="utf-8"?>
<sst xmlns="http://schemas.openxmlformats.org/spreadsheetml/2006/main" count="132" uniqueCount="32">
  <si>
    <t>FACTOR DE CARGA</t>
  </si>
  <si>
    <t>DENSIDAD DEL MATERIAL</t>
  </si>
  <si>
    <t>t/m3</t>
  </si>
  <si>
    <t>m3</t>
  </si>
  <si>
    <t>CAPACIDAD DEL CUCHARON 
(Colmado)</t>
  </si>
  <si>
    <t>CICLO TIPO V</t>
  </si>
  <si>
    <t xml:space="preserve">Velocidad de avance </t>
  </si>
  <si>
    <t>Distancia 1</t>
  </si>
  <si>
    <t>Distancia 2</t>
  </si>
  <si>
    <t>Velocidad de retroceso</t>
  </si>
  <si>
    <t>Descarga</t>
  </si>
  <si>
    <t>Giro</t>
  </si>
  <si>
    <t>min</t>
  </si>
  <si>
    <t>m</t>
  </si>
  <si>
    <t>m/min</t>
  </si>
  <si>
    <t>DURACIÓN DEL CICLO</t>
  </si>
  <si>
    <t>PRODUCCIÓN POR CICLO</t>
  </si>
  <si>
    <t>t/min</t>
  </si>
  <si>
    <t>t/h</t>
  </si>
  <si>
    <t>CICLO LÍNEA RECTA</t>
  </si>
  <si>
    <t>Carguío</t>
  </si>
  <si>
    <t>Giro 1</t>
  </si>
  <si>
    <t xml:space="preserve">Descarga </t>
  </si>
  <si>
    <t>Giro 2</t>
  </si>
  <si>
    <t>NÚMERO DE CICLOS</t>
  </si>
  <si>
    <t>Cucharadas</t>
  </si>
  <si>
    <t>EFICIENCIA</t>
  </si>
  <si>
    <t>Ciclo en V</t>
  </si>
  <si>
    <t>Ciclo en Línea</t>
  </si>
  <si>
    <t>Transporte de material</t>
  </si>
  <si>
    <t>CICLO TRANSPORTE LINEAL</t>
  </si>
  <si>
    <t xml:space="preserve">PRODUCCIÓN HORARIA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</si>
</sst>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NumberFormat="1" applyFont="1" applyBorder="1" applyAlignment="1">
      <alignment horizontal="center" vertical="center"/>
    </xf>
    <xf numFmtId="43" fontId="0" fillId="0" borderId="0" xfId="1" applyNumberFormat="1" applyFont="1" applyAlignment="1">
      <alignment horizontal="center" vertical="center"/>
    </xf>
    <xf numFmtId="43" fontId="0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3" fontId="3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3" fontId="0" fillId="0" borderId="1" xfId="1" applyNumberFormat="1" applyFont="1" applyBorder="1" applyAlignment="1">
      <alignment horizontal="right" vertical="center"/>
    </xf>
    <xf numFmtId="9" fontId="0" fillId="0" borderId="1" xfId="2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43" fontId="0" fillId="0" borderId="0" xfId="1" applyNumberFormat="1" applyFont="1" applyAlignment="1">
      <alignment horizontal="right" vertical="center"/>
    </xf>
    <xf numFmtId="43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1</xdr:row>
      <xdr:rowOff>523875</xdr:rowOff>
    </xdr:from>
    <xdr:to>
      <xdr:col>9</xdr:col>
      <xdr:colOff>676275</xdr:colOff>
      <xdr:row>11</xdr:row>
      <xdr:rowOff>10908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7A1A6D9-806E-7420-8611-595B891FA1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8" t="18429" r="6119" b="13523"/>
        <a:stretch/>
      </xdr:blipFill>
      <xdr:spPr bwMode="auto">
        <a:xfrm>
          <a:off x="5467350" y="714375"/>
          <a:ext cx="4448175" cy="2287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1</xdr:row>
      <xdr:rowOff>180975</xdr:rowOff>
    </xdr:from>
    <xdr:to>
      <xdr:col>9</xdr:col>
      <xdr:colOff>625955</xdr:colOff>
      <xdr:row>11</xdr:row>
      <xdr:rowOff>152362</xdr:rowOff>
    </xdr:to>
    <xdr:pic>
      <xdr:nvPicPr>
        <xdr:cNvPr id="3" name="Picture 2" descr=" Toro™ LH621i underground loader in mine">
          <a:extLst>
            <a:ext uri="{FF2B5EF4-FFF2-40B4-BE49-F238E27FC236}">
              <a16:creationId xmlns:a16="http://schemas.microsoft.com/office/drawing/2014/main" id="{B9BCB915-6A05-B9BB-E98C-BE3D77F35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371475"/>
          <a:ext cx="4540730" cy="277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3BAE-61DB-4C71-9E94-B822C10A605F}">
  <dimension ref="A1:E50"/>
  <sheetViews>
    <sheetView showGridLines="0" tabSelected="1" workbookViewId="0">
      <selection activeCell="I23" sqref="I23"/>
    </sheetView>
  </sheetViews>
  <sheetFormatPr baseColWidth="10" defaultRowHeight="15" x14ac:dyDescent="0.25"/>
  <cols>
    <col min="1" max="1" width="5.5703125" customWidth="1"/>
    <col min="2" max="2" width="25.42578125" customWidth="1"/>
    <col min="3" max="3" width="17.85546875" style="8" customWidth="1"/>
    <col min="4" max="4" width="20.85546875" style="1" customWidth="1"/>
    <col min="5" max="5" width="23.140625" customWidth="1"/>
  </cols>
  <sheetData>
    <row r="1" spans="1:5" x14ac:dyDescent="0.25">
      <c r="A1" s="3"/>
      <c r="B1" s="3"/>
      <c r="C1" s="7"/>
      <c r="D1" s="2"/>
      <c r="E1" s="3"/>
    </row>
    <row r="2" spans="1:5" ht="48" customHeight="1" x14ac:dyDescent="0.25">
      <c r="A2" s="3"/>
      <c r="B2" s="10" t="s">
        <v>4</v>
      </c>
      <c r="C2" s="6">
        <v>53.5</v>
      </c>
      <c r="D2" s="4" t="s">
        <v>3</v>
      </c>
      <c r="E2" s="3"/>
    </row>
    <row r="3" spans="1:5" ht="36" customHeight="1" x14ac:dyDescent="0.25">
      <c r="A3" s="3"/>
      <c r="B3" s="11" t="s">
        <v>1</v>
      </c>
      <c r="C3" s="6">
        <v>4</v>
      </c>
      <c r="D3" s="4" t="s">
        <v>2</v>
      </c>
      <c r="E3" s="3"/>
    </row>
    <row r="4" spans="1:5" ht="31.5" customHeight="1" x14ac:dyDescent="0.25">
      <c r="A4" s="3"/>
      <c r="B4" s="11" t="s">
        <v>0</v>
      </c>
      <c r="C4" s="6">
        <v>0.4</v>
      </c>
      <c r="D4" s="4"/>
      <c r="E4" s="3"/>
    </row>
    <row r="5" spans="1:5" x14ac:dyDescent="0.25">
      <c r="A5" s="3"/>
      <c r="B5" s="3"/>
      <c r="C5" s="7"/>
      <c r="D5" s="2"/>
      <c r="E5" s="3"/>
    </row>
    <row r="6" spans="1:5" x14ac:dyDescent="0.25">
      <c r="A6" s="3"/>
      <c r="B6" s="9" t="s">
        <v>5</v>
      </c>
      <c r="C6" s="9"/>
      <c r="D6" s="9"/>
      <c r="E6" s="3"/>
    </row>
    <row r="7" spans="1:5" x14ac:dyDescent="0.25">
      <c r="A7" s="3"/>
      <c r="B7" s="3"/>
      <c r="C7" s="7"/>
      <c r="D7" s="2"/>
      <c r="E7" s="3"/>
    </row>
    <row r="8" spans="1:5" x14ac:dyDescent="0.25">
      <c r="A8" s="3"/>
      <c r="B8" s="5" t="s">
        <v>7</v>
      </c>
      <c r="C8" s="6">
        <v>20</v>
      </c>
      <c r="D8" s="4" t="s">
        <v>13</v>
      </c>
      <c r="E8" s="3"/>
    </row>
    <row r="9" spans="1:5" x14ac:dyDescent="0.25">
      <c r="A9" s="3"/>
      <c r="B9" s="5" t="s">
        <v>6</v>
      </c>
      <c r="C9" s="6">
        <v>167</v>
      </c>
      <c r="D9" s="4" t="s">
        <v>14</v>
      </c>
      <c r="E9" s="3"/>
    </row>
    <row r="10" spans="1:5" x14ac:dyDescent="0.25">
      <c r="A10" s="3"/>
      <c r="B10" s="5" t="s">
        <v>8</v>
      </c>
      <c r="C10" s="6">
        <v>15</v>
      </c>
      <c r="D10" s="4" t="s">
        <v>13</v>
      </c>
      <c r="E10" s="3"/>
    </row>
    <row r="11" spans="1:5" x14ac:dyDescent="0.25">
      <c r="A11" s="3"/>
      <c r="B11" s="5" t="s">
        <v>9</v>
      </c>
      <c r="C11" s="6">
        <v>83</v>
      </c>
      <c r="D11" s="4" t="s">
        <v>14</v>
      </c>
      <c r="E11" s="3"/>
    </row>
    <row r="12" spans="1:5" x14ac:dyDescent="0.25">
      <c r="A12" s="3"/>
      <c r="B12" s="5" t="s">
        <v>11</v>
      </c>
      <c r="C12" s="6">
        <v>0.5</v>
      </c>
      <c r="D12" s="4" t="s">
        <v>12</v>
      </c>
      <c r="E12" s="3"/>
    </row>
    <row r="13" spans="1:5" x14ac:dyDescent="0.25">
      <c r="A13" s="3"/>
      <c r="B13" s="5" t="s">
        <v>10</v>
      </c>
      <c r="C13" s="6">
        <v>1</v>
      </c>
      <c r="D13" s="4" t="s">
        <v>12</v>
      </c>
      <c r="E13" s="3"/>
    </row>
    <row r="14" spans="1:5" x14ac:dyDescent="0.25">
      <c r="A14" s="3"/>
      <c r="B14" s="5" t="s">
        <v>15</v>
      </c>
      <c r="C14" s="6">
        <f>2*(C8/C9)+2*(C10/C11)+C12+C13</f>
        <v>2.1009667412163626</v>
      </c>
      <c r="D14" s="4" t="s">
        <v>12</v>
      </c>
      <c r="E14" s="3"/>
    </row>
    <row r="15" spans="1:5" x14ac:dyDescent="0.25">
      <c r="A15" s="3"/>
      <c r="B15" s="3"/>
      <c r="C15" s="7"/>
      <c r="D15" s="2"/>
      <c r="E15" s="3"/>
    </row>
    <row r="16" spans="1:5" x14ac:dyDescent="0.25">
      <c r="A16" s="3"/>
      <c r="B16" s="12" t="s">
        <v>16</v>
      </c>
      <c r="C16" s="13">
        <f>C2*C3*C4/C14</f>
        <v>40.743148532870904</v>
      </c>
      <c r="D16" s="14" t="s">
        <v>17</v>
      </c>
      <c r="E16" s="3"/>
    </row>
    <row r="17" spans="1:5" x14ac:dyDescent="0.25">
      <c r="A17" s="3"/>
      <c r="B17" s="3"/>
      <c r="C17" s="7"/>
      <c r="D17" s="2"/>
      <c r="E17" s="3"/>
    </row>
    <row r="18" spans="1:5" x14ac:dyDescent="0.25">
      <c r="A18" s="3"/>
      <c r="B18" s="3"/>
      <c r="C18" s="7"/>
      <c r="D18" s="2"/>
      <c r="E18" s="3"/>
    </row>
    <row r="19" spans="1:5" x14ac:dyDescent="0.25">
      <c r="A19" s="3"/>
      <c r="B19" s="9" t="s">
        <v>19</v>
      </c>
      <c r="C19" s="9"/>
      <c r="D19" s="9"/>
      <c r="E19" s="3"/>
    </row>
    <row r="20" spans="1:5" x14ac:dyDescent="0.25">
      <c r="A20" s="3"/>
      <c r="B20" s="3"/>
      <c r="C20" s="7"/>
      <c r="D20" s="2"/>
      <c r="E20" s="3"/>
    </row>
    <row r="21" spans="1:5" x14ac:dyDescent="0.25">
      <c r="A21" s="3"/>
      <c r="B21" s="5" t="s">
        <v>7</v>
      </c>
      <c r="C21" s="6">
        <v>20</v>
      </c>
      <c r="D21" s="4" t="s">
        <v>13</v>
      </c>
      <c r="E21" s="3"/>
    </row>
    <row r="22" spans="1:5" x14ac:dyDescent="0.25">
      <c r="A22" s="3"/>
      <c r="B22" s="5" t="s">
        <v>6</v>
      </c>
      <c r="C22" s="6">
        <v>167</v>
      </c>
      <c r="D22" s="4" t="s">
        <v>14</v>
      </c>
      <c r="E22" s="3"/>
    </row>
    <row r="23" spans="1:5" x14ac:dyDescent="0.25">
      <c r="A23" s="3"/>
      <c r="B23" s="5" t="s">
        <v>8</v>
      </c>
      <c r="C23" s="6">
        <v>15</v>
      </c>
      <c r="D23" s="4" t="s">
        <v>13</v>
      </c>
      <c r="E23" s="3"/>
    </row>
    <row r="24" spans="1:5" x14ac:dyDescent="0.25">
      <c r="A24" s="3"/>
      <c r="B24" s="5" t="s">
        <v>9</v>
      </c>
      <c r="C24" s="6">
        <v>83</v>
      </c>
      <c r="D24" s="4" t="s">
        <v>14</v>
      </c>
      <c r="E24" s="3"/>
    </row>
    <row r="25" spans="1:5" x14ac:dyDescent="0.25">
      <c r="A25" s="3"/>
      <c r="B25" s="5" t="s">
        <v>11</v>
      </c>
      <c r="C25" s="6">
        <v>0</v>
      </c>
      <c r="D25" s="4" t="s">
        <v>12</v>
      </c>
      <c r="E25" s="3"/>
    </row>
    <row r="26" spans="1:5" x14ac:dyDescent="0.25">
      <c r="A26" s="3"/>
      <c r="B26" s="5" t="s">
        <v>10</v>
      </c>
      <c r="C26" s="6">
        <v>1</v>
      </c>
      <c r="D26" s="4" t="s">
        <v>12</v>
      </c>
      <c r="E26" s="3"/>
    </row>
    <row r="27" spans="1:5" x14ac:dyDescent="0.25">
      <c r="A27" s="3"/>
      <c r="B27" s="5" t="s">
        <v>15</v>
      </c>
      <c r="C27" s="6">
        <f>C21/C22+C23/C24+C26</f>
        <v>1.3004833706081813</v>
      </c>
      <c r="D27" s="4" t="s">
        <v>12</v>
      </c>
      <c r="E27" s="3"/>
    </row>
    <row r="28" spans="1:5" x14ac:dyDescent="0.25">
      <c r="A28" s="3"/>
      <c r="B28" s="3"/>
      <c r="C28" s="7"/>
      <c r="D28" s="2"/>
      <c r="E28" s="3"/>
    </row>
    <row r="29" spans="1:5" x14ac:dyDescent="0.25">
      <c r="A29" s="3"/>
      <c r="B29" s="12" t="s">
        <v>16</v>
      </c>
      <c r="C29" s="13">
        <f>C2*C3*C4/C27</f>
        <v>65.821679795850443</v>
      </c>
      <c r="D29" s="14" t="s">
        <v>17</v>
      </c>
      <c r="E29" s="3"/>
    </row>
    <row r="30" spans="1:5" x14ac:dyDescent="0.25">
      <c r="A30" s="3"/>
      <c r="B30" s="3"/>
      <c r="C30" s="7"/>
      <c r="D30" s="2"/>
      <c r="E30" s="3"/>
    </row>
    <row r="31" spans="1:5" x14ac:dyDescent="0.25">
      <c r="A31" s="3"/>
      <c r="B31" s="3"/>
      <c r="C31" s="7"/>
      <c r="D31" s="2"/>
      <c r="E31" s="3"/>
    </row>
    <row r="32" spans="1:5" x14ac:dyDescent="0.25">
      <c r="A32" s="3"/>
      <c r="B32" s="9" t="s">
        <v>30</v>
      </c>
      <c r="C32" s="9"/>
      <c r="D32" s="9"/>
      <c r="E32" s="3"/>
    </row>
    <row r="33" spans="1:5" x14ac:dyDescent="0.25">
      <c r="A33" s="3"/>
      <c r="B33" s="3"/>
      <c r="C33" s="7"/>
      <c r="D33" s="2"/>
      <c r="E33" s="3"/>
    </row>
    <row r="34" spans="1:5" x14ac:dyDescent="0.25">
      <c r="A34" s="3"/>
      <c r="B34" s="5" t="s">
        <v>7</v>
      </c>
      <c r="C34" s="6">
        <v>100</v>
      </c>
      <c r="D34" s="4" t="s">
        <v>13</v>
      </c>
      <c r="E34" s="3"/>
    </row>
    <row r="35" spans="1:5" x14ac:dyDescent="0.25">
      <c r="A35" s="3"/>
      <c r="B35" s="5" t="s">
        <v>6</v>
      </c>
      <c r="C35" s="6">
        <v>167</v>
      </c>
      <c r="D35" s="4" t="s">
        <v>14</v>
      </c>
      <c r="E35" s="3"/>
    </row>
    <row r="36" spans="1:5" x14ac:dyDescent="0.25">
      <c r="A36" s="3"/>
      <c r="B36" s="5" t="s">
        <v>20</v>
      </c>
      <c r="C36" s="6">
        <v>1.5</v>
      </c>
      <c r="D36" s="4" t="s">
        <v>13</v>
      </c>
      <c r="E36" s="3"/>
    </row>
    <row r="37" spans="1:5" x14ac:dyDescent="0.25">
      <c r="A37" s="3"/>
      <c r="B37" s="5" t="s">
        <v>21</v>
      </c>
      <c r="C37" s="6">
        <v>0.5</v>
      </c>
      <c r="D37" s="4" t="s">
        <v>14</v>
      </c>
      <c r="E37" s="3"/>
    </row>
    <row r="38" spans="1:5" x14ac:dyDescent="0.25">
      <c r="A38" s="3"/>
      <c r="B38" s="5" t="s">
        <v>22</v>
      </c>
      <c r="C38" s="6">
        <v>0.75</v>
      </c>
      <c r="D38" s="4" t="s">
        <v>12</v>
      </c>
      <c r="E38" s="3"/>
    </row>
    <row r="39" spans="1:5" x14ac:dyDescent="0.25">
      <c r="A39" s="3"/>
      <c r="B39" s="5" t="s">
        <v>23</v>
      </c>
      <c r="C39" s="6">
        <v>0.5</v>
      </c>
      <c r="D39" s="4" t="s">
        <v>12</v>
      </c>
      <c r="E39" s="3"/>
    </row>
    <row r="40" spans="1:5" x14ac:dyDescent="0.25">
      <c r="A40" s="3"/>
      <c r="B40" s="5" t="s">
        <v>15</v>
      </c>
      <c r="C40" s="6">
        <f>2*C34/C35+C36+C37+C38+C39</f>
        <v>4.4476047904191613</v>
      </c>
      <c r="D40" s="4" t="s">
        <v>12</v>
      </c>
      <c r="E40" s="3"/>
    </row>
    <row r="41" spans="1:5" x14ac:dyDescent="0.25">
      <c r="A41" s="3"/>
      <c r="B41" s="3"/>
      <c r="C41" s="7"/>
      <c r="D41" s="2"/>
      <c r="E41" s="3"/>
    </row>
    <row r="42" spans="1:5" x14ac:dyDescent="0.25">
      <c r="A42" s="3"/>
      <c r="B42" s="12" t="s">
        <v>16</v>
      </c>
      <c r="C42" s="13">
        <f>C2*C3*C4/C40</f>
        <v>19.246314372265235</v>
      </c>
      <c r="D42" s="14" t="s">
        <v>17</v>
      </c>
      <c r="E42" s="3"/>
    </row>
    <row r="43" spans="1:5" x14ac:dyDescent="0.25">
      <c r="A43" s="3"/>
      <c r="B43" s="3"/>
      <c r="C43" s="7"/>
      <c r="D43" s="2"/>
      <c r="E43" s="3"/>
    </row>
    <row r="44" spans="1:5" ht="36" customHeight="1" x14ac:dyDescent="0.25">
      <c r="A44" s="3"/>
      <c r="B44" s="11" t="s">
        <v>24</v>
      </c>
      <c r="C44" s="15">
        <v>3</v>
      </c>
      <c r="D44" s="4" t="s">
        <v>25</v>
      </c>
      <c r="E44" s="3"/>
    </row>
    <row r="45" spans="1:5" x14ac:dyDescent="0.25">
      <c r="A45" s="3"/>
      <c r="B45" s="3"/>
      <c r="C45" s="18"/>
      <c r="D45" s="2"/>
      <c r="E45" s="3"/>
    </row>
    <row r="46" spans="1:5" ht="33" customHeight="1" x14ac:dyDescent="0.25">
      <c r="A46" s="3"/>
      <c r="B46" s="11" t="s">
        <v>26</v>
      </c>
      <c r="C46" s="16">
        <v>0.65</v>
      </c>
      <c r="D46" s="4"/>
      <c r="E46" s="3"/>
    </row>
    <row r="47" spans="1:5" x14ac:dyDescent="0.25">
      <c r="A47" s="3"/>
      <c r="B47" s="3"/>
      <c r="C47" s="7"/>
      <c r="D47" s="2"/>
      <c r="E47" s="3"/>
    </row>
    <row r="48" spans="1:5" ht="24.95" customHeight="1" x14ac:dyDescent="0.25">
      <c r="A48" s="3"/>
      <c r="B48" s="17" t="s">
        <v>31</v>
      </c>
      <c r="C48" s="19">
        <f>C16*C44*C46*60</f>
        <v>4766.9483783458954</v>
      </c>
      <c r="D48" s="20" t="s">
        <v>18</v>
      </c>
      <c r="E48" s="21" t="s">
        <v>27</v>
      </c>
    </row>
    <row r="49" spans="1:5" ht="24.95" customHeight="1" x14ac:dyDescent="0.25">
      <c r="A49" s="3"/>
      <c r="B49" s="9"/>
      <c r="C49" s="19">
        <f>C29*C44*C46*60</f>
        <v>7701.1365361145017</v>
      </c>
      <c r="D49" s="20" t="s">
        <v>18</v>
      </c>
      <c r="E49" s="21" t="s">
        <v>28</v>
      </c>
    </row>
    <row r="50" spans="1:5" ht="24.95" customHeight="1" x14ac:dyDescent="0.25">
      <c r="A50" s="3"/>
      <c r="B50" s="9"/>
      <c r="C50" s="19">
        <f>C42*C46*60</f>
        <v>750.60626051834424</v>
      </c>
      <c r="D50" s="20" t="s">
        <v>18</v>
      </c>
      <c r="E50" s="21" t="s">
        <v>29</v>
      </c>
    </row>
  </sheetData>
  <mergeCells count="4">
    <mergeCell ref="B6:D6"/>
    <mergeCell ref="B19:D19"/>
    <mergeCell ref="B32:D32"/>
    <mergeCell ref="B48:B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E52D-B375-4D56-A130-2EBBAF32F44F}">
  <dimension ref="A1:E50"/>
  <sheetViews>
    <sheetView showGridLines="0" topLeftCell="A38" workbookViewId="0">
      <selection activeCell="I62" sqref="I62"/>
    </sheetView>
  </sheetViews>
  <sheetFormatPr baseColWidth="10" defaultRowHeight="15" x14ac:dyDescent="0.25"/>
  <cols>
    <col min="1" max="1" width="5.5703125" customWidth="1"/>
    <col min="2" max="2" width="25.42578125" customWidth="1"/>
    <col min="3" max="3" width="17.85546875" style="8" customWidth="1"/>
    <col min="4" max="4" width="20.85546875" style="1" customWidth="1"/>
    <col min="5" max="5" width="23.140625" customWidth="1"/>
  </cols>
  <sheetData>
    <row r="1" spans="1:5" x14ac:dyDescent="0.25">
      <c r="A1" s="3"/>
      <c r="B1" s="3"/>
      <c r="C1" s="7"/>
      <c r="D1" s="2"/>
      <c r="E1" s="3"/>
    </row>
    <row r="2" spans="1:5" ht="48" customHeight="1" x14ac:dyDescent="0.25">
      <c r="A2" s="3"/>
      <c r="B2" s="10" t="s">
        <v>4</v>
      </c>
      <c r="C2" s="6">
        <v>8</v>
      </c>
      <c r="D2" s="4" t="s">
        <v>3</v>
      </c>
      <c r="E2" s="3"/>
    </row>
    <row r="3" spans="1:5" ht="36" customHeight="1" x14ac:dyDescent="0.25">
      <c r="A3" s="3"/>
      <c r="B3" s="11" t="s">
        <v>1</v>
      </c>
      <c r="C3" s="6">
        <v>3.5</v>
      </c>
      <c r="D3" s="4" t="s">
        <v>2</v>
      </c>
      <c r="E3" s="3"/>
    </row>
    <row r="4" spans="1:5" ht="31.5" customHeight="1" x14ac:dyDescent="0.25">
      <c r="A4" s="3"/>
      <c r="B4" s="11" t="s">
        <v>0</v>
      </c>
      <c r="C4" s="6">
        <v>0.4</v>
      </c>
      <c r="D4" s="4"/>
      <c r="E4" s="3"/>
    </row>
    <row r="5" spans="1:5" x14ac:dyDescent="0.25">
      <c r="A5" s="3"/>
      <c r="B5" s="3"/>
      <c r="C5" s="7"/>
      <c r="D5" s="2"/>
      <c r="E5" s="3"/>
    </row>
    <row r="6" spans="1:5" x14ac:dyDescent="0.25">
      <c r="A6" s="3"/>
      <c r="B6" s="9" t="s">
        <v>5</v>
      </c>
      <c r="C6" s="9"/>
      <c r="D6" s="9"/>
      <c r="E6" s="3"/>
    </row>
    <row r="7" spans="1:5" x14ac:dyDescent="0.25">
      <c r="A7" s="3"/>
      <c r="B7" s="3"/>
      <c r="C7" s="7"/>
      <c r="D7" s="2"/>
      <c r="E7" s="3"/>
    </row>
    <row r="8" spans="1:5" x14ac:dyDescent="0.25">
      <c r="A8" s="3"/>
      <c r="B8" s="5" t="s">
        <v>7</v>
      </c>
      <c r="C8" s="6">
        <v>20</v>
      </c>
      <c r="D8" s="4" t="s">
        <v>13</v>
      </c>
      <c r="E8" s="3"/>
    </row>
    <row r="9" spans="1:5" x14ac:dyDescent="0.25">
      <c r="A9" s="3"/>
      <c r="B9" s="5" t="s">
        <v>6</v>
      </c>
      <c r="C9" s="6">
        <v>167</v>
      </c>
      <c r="D9" s="4" t="s">
        <v>14</v>
      </c>
      <c r="E9" s="3"/>
    </row>
    <row r="10" spans="1:5" x14ac:dyDescent="0.25">
      <c r="A10" s="3"/>
      <c r="B10" s="5" t="s">
        <v>8</v>
      </c>
      <c r="C10" s="6">
        <v>15</v>
      </c>
      <c r="D10" s="4" t="s">
        <v>13</v>
      </c>
      <c r="E10" s="3"/>
    </row>
    <row r="11" spans="1:5" x14ac:dyDescent="0.25">
      <c r="A11" s="3"/>
      <c r="B11" s="5" t="s">
        <v>9</v>
      </c>
      <c r="C11" s="6">
        <v>83</v>
      </c>
      <c r="D11" s="4" t="s">
        <v>14</v>
      </c>
      <c r="E11" s="3"/>
    </row>
    <row r="12" spans="1:5" x14ac:dyDescent="0.25">
      <c r="A12" s="3"/>
      <c r="B12" s="5" t="s">
        <v>11</v>
      </c>
      <c r="C12" s="6">
        <v>0.5</v>
      </c>
      <c r="D12" s="4" t="s">
        <v>12</v>
      </c>
      <c r="E12" s="3"/>
    </row>
    <row r="13" spans="1:5" x14ac:dyDescent="0.25">
      <c r="A13" s="3"/>
      <c r="B13" s="5" t="s">
        <v>10</v>
      </c>
      <c r="C13" s="6">
        <v>1</v>
      </c>
      <c r="D13" s="4" t="s">
        <v>12</v>
      </c>
      <c r="E13" s="3"/>
    </row>
    <row r="14" spans="1:5" x14ac:dyDescent="0.25">
      <c r="A14" s="3"/>
      <c r="B14" s="5" t="s">
        <v>15</v>
      </c>
      <c r="C14" s="6">
        <f>2*(C8/C9)+2*(C10/C11)+C12+C13</f>
        <v>2.1009667412163626</v>
      </c>
      <c r="D14" s="4" t="s">
        <v>12</v>
      </c>
      <c r="E14" s="3"/>
    </row>
    <row r="15" spans="1:5" x14ac:dyDescent="0.25">
      <c r="A15" s="3"/>
      <c r="B15" s="3"/>
      <c r="C15" s="7"/>
      <c r="D15" s="2"/>
      <c r="E15" s="3"/>
    </row>
    <row r="16" spans="1:5" x14ac:dyDescent="0.25">
      <c r="A16" s="3"/>
      <c r="B16" s="12" t="s">
        <v>16</v>
      </c>
      <c r="C16" s="13">
        <f>C2*C3*C4/C14</f>
        <v>5.3308792472915201</v>
      </c>
      <c r="D16" s="14" t="s">
        <v>17</v>
      </c>
      <c r="E16" s="3"/>
    </row>
    <row r="17" spans="1:5" x14ac:dyDescent="0.25">
      <c r="A17" s="3"/>
      <c r="B17" s="3"/>
      <c r="C17" s="7"/>
      <c r="D17" s="2"/>
      <c r="E17" s="3"/>
    </row>
    <row r="18" spans="1:5" x14ac:dyDescent="0.25">
      <c r="A18" s="3"/>
      <c r="B18" s="3"/>
      <c r="C18" s="7"/>
      <c r="D18" s="2"/>
      <c r="E18" s="3"/>
    </row>
    <row r="19" spans="1:5" x14ac:dyDescent="0.25">
      <c r="A19" s="3"/>
      <c r="B19" s="9" t="s">
        <v>19</v>
      </c>
      <c r="C19" s="9"/>
      <c r="D19" s="9"/>
      <c r="E19" s="3"/>
    </row>
    <row r="20" spans="1:5" x14ac:dyDescent="0.25">
      <c r="A20" s="3"/>
      <c r="B20" s="3"/>
      <c r="C20" s="7"/>
      <c r="D20" s="2"/>
      <c r="E20" s="3"/>
    </row>
    <row r="21" spans="1:5" x14ac:dyDescent="0.25">
      <c r="A21" s="3"/>
      <c r="B21" s="5" t="s">
        <v>7</v>
      </c>
      <c r="C21" s="6">
        <v>20</v>
      </c>
      <c r="D21" s="4" t="s">
        <v>13</v>
      </c>
      <c r="E21" s="3"/>
    </row>
    <row r="22" spans="1:5" x14ac:dyDescent="0.25">
      <c r="A22" s="3"/>
      <c r="B22" s="5" t="s">
        <v>6</v>
      </c>
      <c r="C22" s="6">
        <v>167</v>
      </c>
      <c r="D22" s="4" t="s">
        <v>14</v>
      </c>
      <c r="E22" s="3"/>
    </row>
    <row r="23" spans="1:5" x14ac:dyDescent="0.25">
      <c r="A23" s="3"/>
      <c r="B23" s="5" t="s">
        <v>8</v>
      </c>
      <c r="C23" s="6">
        <v>15</v>
      </c>
      <c r="D23" s="4" t="s">
        <v>13</v>
      </c>
      <c r="E23" s="3"/>
    </row>
    <row r="24" spans="1:5" x14ac:dyDescent="0.25">
      <c r="A24" s="3"/>
      <c r="B24" s="5" t="s">
        <v>9</v>
      </c>
      <c r="C24" s="6">
        <v>83</v>
      </c>
      <c r="D24" s="4" t="s">
        <v>14</v>
      </c>
      <c r="E24" s="3"/>
    </row>
    <row r="25" spans="1:5" x14ac:dyDescent="0.25">
      <c r="A25" s="3"/>
      <c r="B25" s="5" t="s">
        <v>11</v>
      </c>
      <c r="C25" s="6">
        <v>0</v>
      </c>
      <c r="D25" s="4" t="s">
        <v>12</v>
      </c>
      <c r="E25" s="3"/>
    </row>
    <row r="26" spans="1:5" x14ac:dyDescent="0.25">
      <c r="A26" s="3"/>
      <c r="B26" s="5" t="s">
        <v>10</v>
      </c>
      <c r="C26" s="6">
        <v>1</v>
      </c>
      <c r="D26" s="4" t="s">
        <v>12</v>
      </c>
      <c r="E26" s="3"/>
    </row>
    <row r="27" spans="1:5" x14ac:dyDescent="0.25">
      <c r="A27" s="3"/>
      <c r="B27" s="5" t="s">
        <v>15</v>
      </c>
      <c r="C27" s="6">
        <f>C21/C22+C23/C24+C26</f>
        <v>1.3004833706081813</v>
      </c>
      <c r="D27" s="4" t="s">
        <v>12</v>
      </c>
      <c r="E27" s="3"/>
    </row>
    <row r="28" spans="1:5" x14ac:dyDescent="0.25">
      <c r="A28" s="3"/>
      <c r="B28" s="3"/>
      <c r="C28" s="7"/>
      <c r="D28" s="2"/>
      <c r="E28" s="3"/>
    </row>
    <row r="29" spans="1:5" x14ac:dyDescent="0.25">
      <c r="A29" s="3"/>
      <c r="B29" s="12" t="s">
        <v>16</v>
      </c>
      <c r="C29" s="13">
        <f>C2*C3*C4/C27</f>
        <v>8.6121824031953853</v>
      </c>
      <c r="D29" s="14" t="s">
        <v>17</v>
      </c>
      <c r="E29" s="3"/>
    </row>
    <row r="30" spans="1:5" x14ac:dyDescent="0.25">
      <c r="A30" s="3"/>
      <c r="B30" s="3"/>
      <c r="C30" s="7"/>
      <c r="D30" s="2"/>
      <c r="E30" s="3"/>
    </row>
    <row r="31" spans="1:5" x14ac:dyDescent="0.25">
      <c r="A31" s="3"/>
      <c r="B31" s="3"/>
      <c r="C31" s="7"/>
      <c r="D31" s="2"/>
      <c r="E31" s="3"/>
    </row>
    <row r="32" spans="1:5" x14ac:dyDescent="0.25">
      <c r="A32" s="3"/>
      <c r="B32" s="9" t="s">
        <v>30</v>
      </c>
      <c r="C32" s="9"/>
      <c r="D32" s="9"/>
      <c r="E32" s="3"/>
    </row>
    <row r="33" spans="1:5" x14ac:dyDescent="0.25">
      <c r="A33" s="3"/>
      <c r="B33" s="3"/>
      <c r="C33" s="7"/>
      <c r="D33" s="2"/>
      <c r="E33" s="3"/>
    </row>
    <row r="34" spans="1:5" x14ac:dyDescent="0.25">
      <c r="A34" s="3"/>
      <c r="B34" s="5" t="s">
        <v>7</v>
      </c>
      <c r="C34" s="6">
        <v>100</v>
      </c>
      <c r="D34" s="4" t="s">
        <v>13</v>
      </c>
      <c r="E34" s="3"/>
    </row>
    <row r="35" spans="1:5" x14ac:dyDescent="0.25">
      <c r="A35" s="3"/>
      <c r="B35" s="5" t="s">
        <v>6</v>
      </c>
      <c r="C35" s="6">
        <v>167</v>
      </c>
      <c r="D35" s="4" t="s">
        <v>14</v>
      </c>
      <c r="E35" s="3"/>
    </row>
    <row r="36" spans="1:5" x14ac:dyDescent="0.25">
      <c r="A36" s="3"/>
      <c r="B36" s="5" t="s">
        <v>20</v>
      </c>
      <c r="C36" s="6">
        <v>1.5</v>
      </c>
      <c r="D36" s="4" t="s">
        <v>13</v>
      </c>
      <c r="E36" s="3"/>
    </row>
    <row r="37" spans="1:5" x14ac:dyDescent="0.25">
      <c r="A37" s="3"/>
      <c r="B37" s="5" t="s">
        <v>21</v>
      </c>
      <c r="C37" s="6">
        <v>0.5</v>
      </c>
      <c r="D37" s="4" t="s">
        <v>14</v>
      </c>
      <c r="E37" s="3"/>
    </row>
    <row r="38" spans="1:5" x14ac:dyDescent="0.25">
      <c r="A38" s="3"/>
      <c r="B38" s="5" t="s">
        <v>22</v>
      </c>
      <c r="C38" s="6">
        <v>0.75</v>
      </c>
      <c r="D38" s="4" t="s">
        <v>12</v>
      </c>
      <c r="E38" s="3"/>
    </row>
    <row r="39" spans="1:5" x14ac:dyDescent="0.25">
      <c r="A39" s="3"/>
      <c r="B39" s="5" t="s">
        <v>23</v>
      </c>
      <c r="C39" s="6">
        <v>0.5</v>
      </c>
      <c r="D39" s="4" t="s">
        <v>12</v>
      </c>
      <c r="E39" s="3"/>
    </row>
    <row r="40" spans="1:5" x14ac:dyDescent="0.25">
      <c r="A40" s="3"/>
      <c r="B40" s="5" t="s">
        <v>15</v>
      </c>
      <c r="C40" s="6">
        <f>2*C34/C35+C36+C37+C38+C39</f>
        <v>4.4476047904191613</v>
      </c>
      <c r="D40" s="4" t="s">
        <v>12</v>
      </c>
      <c r="E40" s="3"/>
    </row>
    <row r="41" spans="1:5" x14ac:dyDescent="0.25">
      <c r="A41" s="3"/>
      <c r="B41" s="3"/>
      <c r="C41" s="7"/>
      <c r="D41" s="2"/>
      <c r="E41" s="3"/>
    </row>
    <row r="42" spans="1:5" x14ac:dyDescent="0.25">
      <c r="A42" s="3"/>
      <c r="B42" s="12" t="s">
        <v>16</v>
      </c>
      <c r="C42" s="13">
        <f>C2*C3*C4/C40</f>
        <v>2.5182093571188156</v>
      </c>
      <c r="D42" s="14" t="s">
        <v>17</v>
      </c>
      <c r="E42" s="3"/>
    </row>
    <row r="43" spans="1:5" x14ac:dyDescent="0.25">
      <c r="A43" s="3"/>
      <c r="B43" s="3"/>
      <c r="C43" s="7"/>
      <c r="D43" s="2"/>
      <c r="E43" s="3"/>
    </row>
    <row r="44" spans="1:5" ht="36" customHeight="1" x14ac:dyDescent="0.25">
      <c r="A44" s="3"/>
      <c r="B44" s="11" t="s">
        <v>24</v>
      </c>
      <c r="C44" s="15">
        <v>3</v>
      </c>
      <c r="D44" s="4" t="s">
        <v>25</v>
      </c>
      <c r="E44" s="3"/>
    </row>
    <row r="45" spans="1:5" x14ac:dyDescent="0.25">
      <c r="A45" s="3"/>
      <c r="B45" s="3"/>
      <c r="C45" s="18"/>
      <c r="D45" s="2"/>
      <c r="E45" s="3"/>
    </row>
    <row r="46" spans="1:5" ht="33" customHeight="1" x14ac:dyDescent="0.25">
      <c r="A46" s="3"/>
      <c r="B46" s="11" t="s">
        <v>26</v>
      </c>
      <c r="C46" s="16">
        <v>0.65</v>
      </c>
      <c r="D46" s="4"/>
      <c r="E46" s="3"/>
    </row>
    <row r="47" spans="1:5" x14ac:dyDescent="0.25">
      <c r="A47" s="3"/>
      <c r="B47" s="3"/>
      <c r="C47" s="7"/>
      <c r="D47" s="2"/>
      <c r="E47" s="3"/>
    </row>
    <row r="48" spans="1:5" ht="24.95" customHeight="1" x14ac:dyDescent="0.25">
      <c r="A48" s="3"/>
      <c r="B48" s="17" t="s">
        <v>31</v>
      </c>
      <c r="C48" s="19">
        <f>C16*C44*C46*60</f>
        <v>623.71287193310786</v>
      </c>
      <c r="D48" s="20" t="s">
        <v>18</v>
      </c>
      <c r="E48" s="21" t="s">
        <v>27</v>
      </c>
    </row>
    <row r="49" spans="1:5" ht="24.95" customHeight="1" x14ac:dyDescent="0.25">
      <c r="A49" s="3"/>
      <c r="B49" s="9"/>
      <c r="C49" s="19">
        <f>C29*C44*C46*60</f>
        <v>1007.6253411738601</v>
      </c>
      <c r="D49" s="20" t="s">
        <v>18</v>
      </c>
      <c r="E49" s="21" t="s">
        <v>28</v>
      </c>
    </row>
    <row r="50" spans="1:5" ht="24.95" customHeight="1" x14ac:dyDescent="0.25">
      <c r="A50" s="3"/>
      <c r="B50" s="9"/>
      <c r="C50" s="19">
        <f>C42*C46*60</f>
        <v>98.210164927633798</v>
      </c>
      <c r="D50" s="20" t="s">
        <v>18</v>
      </c>
      <c r="E50" s="21" t="s">
        <v>29</v>
      </c>
    </row>
  </sheetData>
  <mergeCells count="4">
    <mergeCell ref="B6:D6"/>
    <mergeCell ref="B19:D19"/>
    <mergeCell ref="B32:D32"/>
    <mergeCell ref="B48:B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WE2350</vt:lpstr>
      <vt:lpstr>LH621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2024-03-13T21:59:46Z</dcterms:created>
  <dcterms:modified xsi:type="dcterms:W3CDTF">2024-03-13T22:41:36Z</dcterms:modified>
</cp:coreProperties>
</file>