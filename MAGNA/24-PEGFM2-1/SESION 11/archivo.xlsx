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rchivos\Deyvi López\Magna\Gestión de flota minera\Módulo Nro. 04\"/>
    </mc:Choice>
  </mc:AlternateContent>
  <xr:revisionPtr revIDLastSave="0" documentId="13_ncr:1_{0F789F77-7B01-42D1-BF64-75AA8236A08C}" xr6:coauthVersionLast="47" xr6:coauthVersionMax="47" xr10:uidLastSave="{00000000-0000-0000-0000-000000000000}"/>
  <bookViews>
    <workbookView xWindow="-120" yWindow="-120" windowWidth="29040" windowHeight="15840" activeTab="1" xr2:uid="{ED9ACC3D-6CB0-4492-857F-74B92C5B86EB}"/>
  </bookViews>
  <sheets>
    <sheet name="Hoja1" sheetId="1" r:id="rId1"/>
    <sheet name="Hoja2" sheetId="3" r:id="rId2"/>
  </sheets>
  <definedNames>
    <definedName name="_xlchart.v1.0" hidden="1">(Hoja1!$A$113:$A$117,Hoja1!$A$119:$A$127)</definedName>
    <definedName name="_xlchart.v1.1" hidden="1">(Hoja1!$C$113:$C$117,Hoja1!$C$119:$C$127)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" i="1" l="1"/>
  <c r="B122" i="1" s="1"/>
  <c r="B70" i="1"/>
  <c r="B17" i="3"/>
  <c r="B19" i="3"/>
  <c r="A127" i="1"/>
  <c r="A126" i="1"/>
  <c r="A125" i="1"/>
  <c r="A124" i="1"/>
  <c r="A123" i="1"/>
  <c r="A122" i="1"/>
  <c r="A121" i="1"/>
  <c r="A120" i="1"/>
  <c r="A119" i="1"/>
  <c r="A117" i="1"/>
  <c r="A116" i="1"/>
  <c r="A115" i="1"/>
  <c r="A114" i="1"/>
  <c r="A113" i="1"/>
  <c r="B88" i="1"/>
  <c r="B126" i="1" s="1"/>
  <c r="B109" i="1"/>
  <c r="B127" i="1" s="1"/>
  <c r="B61" i="1"/>
  <c r="B123" i="1" s="1"/>
  <c r="B30" i="1" l="1"/>
  <c r="B24" i="1"/>
  <c r="B64" i="1" s="1"/>
  <c r="B23" i="1"/>
  <c r="B37" i="1"/>
  <c r="B38" i="1" s="1"/>
  <c r="B7" i="1"/>
  <c r="B9" i="1" s="1"/>
  <c r="B114" i="1" s="1"/>
  <c r="B6" i="1"/>
  <c r="B113" i="1" s="1"/>
  <c r="B125" i="1" l="1"/>
  <c r="B119" i="1"/>
  <c r="B40" i="1"/>
  <c r="B121" i="1"/>
  <c r="B29" i="1"/>
  <c r="B120" i="1"/>
  <c r="B39" i="1"/>
  <c r="B13" i="1"/>
  <c r="B116" i="1" s="1"/>
  <c r="B11" i="1"/>
  <c r="B115" i="1" s="1"/>
  <c r="B15" i="1"/>
  <c r="B117" i="1" s="1"/>
  <c r="B124" i="1" l="1"/>
  <c r="B118" i="1" s="1"/>
  <c r="B112" i="1"/>
  <c r="B18" i="1"/>
  <c r="B17" i="1"/>
  <c r="B128" i="1" l="1"/>
  <c r="C113" i="1" l="1"/>
  <c r="C126" i="1"/>
  <c r="C112" i="1"/>
  <c r="C127" i="1"/>
  <c r="C120" i="1"/>
  <c r="C119" i="1"/>
  <c r="C121" i="1"/>
  <c r="C114" i="1"/>
  <c r="C115" i="1"/>
  <c r="C123" i="1"/>
  <c r="C116" i="1"/>
  <c r="C117" i="1"/>
  <c r="C122" i="1"/>
  <c r="C124" i="1"/>
  <c r="C125" i="1"/>
  <c r="C118" i="1"/>
  <c r="C128" i="1" l="1"/>
</calcChain>
</file>

<file path=xl/sharedStrings.xml><?xml version="1.0" encoding="utf-8"?>
<sst xmlns="http://schemas.openxmlformats.org/spreadsheetml/2006/main" count="277" uniqueCount="124">
  <si>
    <t>Valor de adquisición</t>
  </si>
  <si>
    <t>Valor de rescate</t>
  </si>
  <si>
    <t xml:space="preserve">Vida económicamente útil </t>
  </si>
  <si>
    <t>USD</t>
  </si>
  <si>
    <t>Depreciación</t>
  </si>
  <si>
    <t>Años</t>
  </si>
  <si>
    <t>Inversión media anual</t>
  </si>
  <si>
    <t>Costo del seguro</t>
  </si>
  <si>
    <t>Impuesto vehicular</t>
  </si>
  <si>
    <t>Costo de la inversión</t>
  </si>
  <si>
    <t>Costo del almacenamiento</t>
  </si>
  <si>
    <t>Prima del seguro</t>
  </si>
  <si>
    <t>Tarifa de almacenamiento</t>
  </si>
  <si>
    <t xml:space="preserve">Tasa de impuesto vehicular </t>
  </si>
  <si>
    <t>USD/día</t>
  </si>
  <si>
    <t>USD/año</t>
  </si>
  <si>
    <t>COSTO DE POSESIÓN</t>
  </si>
  <si>
    <t>Tiempo neto anual</t>
  </si>
  <si>
    <t>USD/hora</t>
  </si>
  <si>
    <t>Tasa anual</t>
  </si>
  <si>
    <t xml:space="preserve">Tasa de interés </t>
  </si>
  <si>
    <t>COSTO DE MANTENIMIENTO</t>
  </si>
  <si>
    <t>Costo posesión</t>
  </si>
  <si>
    <t>Costo de mantenimiento</t>
  </si>
  <si>
    <t>Tipo de trabajo</t>
  </si>
  <si>
    <t>Costo de mano de obra</t>
  </si>
  <si>
    <t>Costo de repuestos</t>
  </si>
  <si>
    <t>COSTO DE COMBUSTIBLE</t>
  </si>
  <si>
    <t>Tasa de consumo</t>
  </si>
  <si>
    <t>gl/h</t>
  </si>
  <si>
    <t>USD/gl</t>
  </si>
  <si>
    <t>Costo de combustible</t>
  </si>
  <si>
    <t>horas/año</t>
  </si>
  <si>
    <t>USD/h</t>
  </si>
  <si>
    <t>Costo de operario de construcción civil</t>
  </si>
  <si>
    <t>Operador especializado</t>
  </si>
  <si>
    <t>Bonificación</t>
  </si>
  <si>
    <t>COSTO DE OPERADOR</t>
  </si>
  <si>
    <t>Entre 5 USD/h - 7.5 USD/h</t>
  </si>
  <si>
    <t>COSTO DE LUBRICANTES</t>
  </si>
  <si>
    <t>COSTO DE GRASAS</t>
  </si>
  <si>
    <t>COSTO DE FILTROS</t>
  </si>
  <si>
    <t>COSTO DE NEUMÁTICOS</t>
  </si>
  <si>
    <t>PIEZAS DE DESGASTE</t>
  </si>
  <si>
    <t>HERRAMIENTAS DE CORTE</t>
  </si>
  <si>
    <t>Frecuencia de cambio</t>
  </si>
  <si>
    <t>Cantidad</t>
  </si>
  <si>
    <t>Motor</t>
  </si>
  <si>
    <t>Insumo</t>
  </si>
  <si>
    <t>gl</t>
  </si>
  <si>
    <t>Mandos finales</t>
  </si>
  <si>
    <t>Frenos</t>
  </si>
  <si>
    <t>kg</t>
  </si>
  <si>
    <t>horas</t>
  </si>
  <si>
    <t>Capacidad</t>
  </si>
  <si>
    <t>Costo de lubricantes</t>
  </si>
  <si>
    <t>Consumo</t>
  </si>
  <si>
    <t>USD/kg</t>
  </si>
  <si>
    <t>Frecuencia de uso</t>
  </si>
  <si>
    <t>Costo de grasa</t>
  </si>
  <si>
    <t>Costo de filtros</t>
  </si>
  <si>
    <t>unidades</t>
  </si>
  <si>
    <t>USD/unidades</t>
  </si>
  <si>
    <t>Costo de neumáticos</t>
  </si>
  <si>
    <t>Costo unitario</t>
  </si>
  <si>
    <t>Vida útil</t>
  </si>
  <si>
    <t>TRENES DE ORUGAS</t>
  </si>
  <si>
    <t>USD/unidad</t>
  </si>
  <si>
    <t xml:space="preserve">Costo unitario </t>
  </si>
  <si>
    <t>CUCHILLAS</t>
  </si>
  <si>
    <t>CANTONERAS</t>
  </si>
  <si>
    <t>BROCAS</t>
  </si>
  <si>
    <t>DIENTES DE CUCHARON</t>
  </si>
  <si>
    <t>PUNTAS DE MARTILLOS</t>
  </si>
  <si>
    <t>PUNTAS DE ESCARIFICADORES</t>
  </si>
  <si>
    <t>CINTAS TRANSPORTADORAS</t>
  </si>
  <si>
    <t>Costo de piezas de desgaste</t>
  </si>
  <si>
    <t>Costo de herramientas de corte</t>
  </si>
  <si>
    <t>Costo de Mantenimiento para Trabajo Duro = 80 a 100% del Va Adquisición</t>
  </si>
  <si>
    <t>Costo de Mantenimiento para Trabajo Normal = 70 a 90% del Va Adquisición</t>
  </si>
  <si>
    <t>Costo de Mantenimiento para Trabajo Suave = 50 a 80% del Va Adquisición</t>
  </si>
  <si>
    <t>COSTO DE OPERACIÓN</t>
  </si>
  <si>
    <t>COSTO TOTAL</t>
  </si>
  <si>
    <t>Refrigerante de motor</t>
  </si>
  <si>
    <t>Aceite de motor</t>
  </si>
  <si>
    <t>Grasa</t>
  </si>
  <si>
    <t>Cada 250 hora de operación</t>
  </si>
  <si>
    <t>Cada 2000 horas de operación</t>
  </si>
  <si>
    <t>Cada 500 horas de operación</t>
  </si>
  <si>
    <t>Cada 8000 horas de operación</t>
  </si>
  <si>
    <t>Cada 4000 horas de operación</t>
  </si>
  <si>
    <t>Cada 3000 horas de operación</t>
  </si>
  <si>
    <t>Costo unitario (USD/gl)</t>
  </si>
  <si>
    <t>Sistema de enfriamiento</t>
  </si>
  <si>
    <t>Direferenciales</t>
  </si>
  <si>
    <t>Dirección</t>
  </si>
  <si>
    <t xml:space="preserve">Aceite de ruedas, mandos finales y diferencial </t>
  </si>
  <si>
    <t>Aceite de convertidor de par y transmisión</t>
  </si>
  <si>
    <t>Aceite hidráulico, dirección y frenos</t>
  </si>
  <si>
    <t xml:space="preserve">Convertidor de par y sistema de transmisión </t>
  </si>
  <si>
    <t>Ruedas</t>
  </si>
  <si>
    <t>Soldar una grieta pequeña: $2,000 a $5,000</t>
  </si>
  <si>
    <t>Reemplazar una placa de armadura: $5,000 a $10,000</t>
  </si>
  <si>
    <t>Enderezar una tolva deformada: $20,000 a $50,000</t>
  </si>
  <si>
    <t>Reemplazar la estructura de soporte: $50,000 a $100,000</t>
  </si>
  <si>
    <t>Reemplazar completamente la tolva: Más de $200,000</t>
  </si>
  <si>
    <t>REPARACIÓN DE TOLVA DE CAMIÓN MINERO 797F</t>
  </si>
  <si>
    <t>FRECUENCIA</t>
  </si>
  <si>
    <t>40,000 horas</t>
  </si>
  <si>
    <t>1,000 horas</t>
  </si>
  <si>
    <t>2,500 horas</t>
  </si>
  <si>
    <t>7,500 horas</t>
  </si>
  <si>
    <t>15,000 horas</t>
  </si>
  <si>
    <t>CUCHARÓN</t>
  </si>
  <si>
    <t>VERTEDERAS</t>
  </si>
  <si>
    <t xml:space="preserve">TOLVA </t>
  </si>
  <si>
    <t>Neumáticos OTR</t>
  </si>
  <si>
    <t>Entre 2,000 horas - 4,000 horas</t>
  </si>
  <si>
    <t>Unidad</t>
  </si>
  <si>
    <t>USD/neumático</t>
  </si>
  <si>
    <t xml:space="preserve">40,000  - 60,000 </t>
  </si>
  <si>
    <t>Tanque de combustible</t>
  </si>
  <si>
    <t xml:space="preserve">Grasa de litio EP de alta calidad // NLGI 2 </t>
  </si>
  <si>
    <t>OTR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</si>
</sst>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[$$-409]* #,##0.00_ ;_-[$$-409]* \-#,##0.00\ ;_-[$$-409]* &quot;-&quot;??_ ;_-@_ "/>
    <numFmt numFmtId="165" formatCode="_-[$$-409]* #,##0.0_ ;_-[$$-409]* \-#,##0.0\ ;_-[$$-409]* &quot;-&quot;??_ ;_-@_ "/>
    <numFmt numFmtId="166" formatCode="_-[$$-409]* #,##0_ ;_-[$$-409]* \-#,##0\ ;_-[$$-409]* &quot;-&quot;??_ ;_-@_ "/>
    <numFmt numFmtId="167" formatCode="0.0%"/>
    <numFmt numFmtId="173" formatCode="_-[$$-409]* #,##0.0_ ;_-[$$-409]* \-#,##0.0\ ;_-[$$-409]* &quot;-&quot;?_ ;_-@_ "/>
    <numFmt numFmtId="175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CFDD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4" fillId="4" borderId="3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right" vertical="center" wrapText="1"/>
    </xf>
    <xf numFmtId="1" fontId="3" fillId="3" borderId="1" xfId="0" applyNumberFormat="1" applyFont="1" applyFill="1" applyBorder="1" applyAlignment="1">
      <alignment horizontal="right" vertical="center" wrapText="1"/>
    </xf>
    <xf numFmtId="166" fontId="2" fillId="2" borderId="1" xfId="0" applyNumberFormat="1" applyFont="1" applyFill="1" applyBorder="1" applyAlignment="1">
      <alignment horizontal="right" vertical="center" wrapText="1"/>
    </xf>
    <xf numFmtId="9" fontId="3" fillId="3" borderId="1" xfId="1" applyFont="1" applyFill="1" applyBorder="1" applyAlignment="1">
      <alignment horizontal="right" vertical="center" wrapText="1"/>
    </xf>
    <xf numFmtId="165" fontId="2" fillId="2" borderId="1" xfId="0" applyNumberFormat="1" applyFont="1" applyFill="1" applyBorder="1" applyAlignment="1">
      <alignment horizontal="right" vertical="center" wrapText="1"/>
    </xf>
    <xf numFmtId="167" fontId="3" fillId="3" borderId="1" xfId="1" applyNumberFormat="1" applyFont="1" applyFill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9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left" vertical="center" wrapText="1"/>
    </xf>
    <xf numFmtId="166" fontId="3" fillId="0" borderId="0" xfId="0" applyNumberFormat="1" applyFont="1"/>
    <xf numFmtId="0" fontId="3" fillId="0" borderId="0" xfId="0" applyFont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166" fontId="2" fillId="5" borderId="1" xfId="0" applyNumberFormat="1" applyFont="1" applyFill="1" applyBorder="1" applyAlignment="1">
      <alignment horizontal="right" vertical="center" wrapText="1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9" fontId="3" fillId="3" borderId="1" xfId="1" applyFont="1" applyFill="1" applyBorder="1" applyAlignment="1">
      <alignment vertical="center"/>
    </xf>
    <xf numFmtId="165" fontId="2" fillId="5" borderId="1" xfId="0" applyNumberFormat="1" applyFont="1" applyFill="1" applyBorder="1" applyAlignment="1">
      <alignment horizontal="right" vertical="center" wrapText="1"/>
    </xf>
    <xf numFmtId="0" fontId="5" fillId="0" borderId="0" xfId="0" applyFont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3" fillId="3" borderId="16" xfId="0" applyFont="1" applyFill="1" applyBorder="1" applyAlignment="1">
      <alignment wrapText="1"/>
    </xf>
    <xf numFmtId="0" fontId="3" fillId="3" borderId="16" xfId="0" applyFont="1" applyFill="1" applyBorder="1" applyAlignment="1">
      <alignment horizontal="center" wrapText="1"/>
    </xf>
    <xf numFmtId="0" fontId="3" fillId="3" borderId="13" xfId="0" applyFont="1" applyFill="1" applyBorder="1" applyAlignment="1">
      <alignment wrapText="1"/>
    </xf>
    <xf numFmtId="0" fontId="3" fillId="3" borderId="13" xfId="0" applyFont="1" applyFill="1" applyBorder="1" applyAlignment="1">
      <alignment horizontal="center" wrapText="1"/>
    </xf>
    <xf numFmtId="165" fontId="2" fillId="2" borderId="3" xfId="0" applyNumberFormat="1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wrapText="1"/>
    </xf>
    <xf numFmtId="0" fontId="4" fillId="4" borderId="6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left" vertical="center" wrapText="1"/>
    </xf>
    <xf numFmtId="0" fontId="3" fillId="3" borderId="15" xfId="0" applyFont="1" applyFill="1" applyBorder="1" applyAlignment="1">
      <alignment horizontal="left" vertical="center" wrapText="1"/>
    </xf>
    <xf numFmtId="0" fontId="3" fillId="3" borderId="10" xfId="0" applyFont="1" applyFill="1" applyBorder="1" applyAlignment="1">
      <alignment horizontal="left" vertical="center" wrapText="1"/>
    </xf>
    <xf numFmtId="0" fontId="3" fillId="3" borderId="1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4" fillId="7" borderId="1" xfId="0" applyFont="1" applyFill="1" applyBorder="1" applyAlignment="1">
      <alignment horizontal="left" wrapText="1"/>
    </xf>
    <xf numFmtId="0" fontId="6" fillId="8" borderId="1" xfId="0" applyFont="1" applyFill="1" applyBorder="1" applyAlignment="1">
      <alignment horizontal="left" wrapText="1"/>
    </xf>
    <xf numFmtId="167" fontId="3" fillId="2" borderId="1" xfId="1" applyNumberFormat="1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4" fillId="4" borderId="18" xfId="0" applyFont="1" applyFill="1" applyBorder="1" applyAlignment="1">
      <alignment horizontal="center" wrapText="1"/>
    </xf>
    <xf numFmtId="0" fontId="4" fillId="4" borderId="9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4" borderId="4" xfId="0" applyFont="1" applyFill="1" applyBorder="1" applyAlignment="1">
      <alignment horizontal="center" wrapText="1"/>
    </xf>
    <xf numFmtId="0" fontId="4" fillId="4" borderId="7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3" fontId="3" fillId="0" borderId="0" xfId="0" applyNumberFormat="1" applyFont="1"/>
    <xf numFmtId="0" fontId="4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43" fontId="3" fillId="0" borderId="1" xfId="2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4" fillId="6" borderId="20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3" fillId="0" borderId="0" xfId="0" applyFont="1" applyBorder="1" applyAlignment="1">
      <alignment horizontal="center" vertical="center"/>
    </xf>
    <xf numFmtId="43" fontId="3" fillId="0" borderId="1" xfId="2" applyFont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43" fontId="3" fillId="0" borderId="0" xfId="0" applyNumberFormat="1" applyFont="1"/>
    <xf numFmtId="175" fontId="3" fillId="3" borderId="1" xfId="2" applyNumberFormat="1" applyFont="1" applyFill="1" applyBorder="1" applyAlignment="1">
      <alignment horizontal="right" vertical="center" wrapText="1"/>
    </xf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CFD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plotArea>
      <cx:plotAreaRegion>
        <cx:series layoutId="clusteredColumn" uniqueId="{EAAF3538-D3F5-4BA2-826E-58FF2FBF2A37}">
          <cx:dataId val="0"/>
          <cx:layoutPr>
            <cx:aggregation/>
          </cx:layoutPr>
          <cx:axisId val="1"/>
        </cx:series>
        <cx:series layoutId="paretoLine" ownerIdx="0" uniqueId="{82145523-2EBD-4EE3-AB35-6CC7F765A064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315058</xdr:colOff>
      <xdr:row>109</xdr:row>
      <xdr:rowOff>174380</xdr:rowOff>
    </xdr:from>
    <xdr:to>
      <xdr:col>12</xdr:col>
      <xdr:colOff>718038</xdr:colOff>
      <xdr:row>131</xdr:row>
      <xdr:rowOff>95249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DA99A2B2-4B7C-2C9B-778B-2ED4E303B0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63483" y="25577555"/>
              <a:ext cx="6498980" cy="43214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27215</xdr:colOff>
      <xdr:row>34</xdr:row>
      <xdr:rowOff>43946</xdr:rowOff>
    </xdr:from>
    <xdr:to>
      <xdr:col>2</xdr:col>
      <xdr:colOff>1367518</xdr:colOff>
      <xdr:row>44</xdr:row>
      <xdr:rowOff>173514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4C962FE-D56E-A362-4189-CF8594173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15" y="6779482"/>
          <a:ext cx="6041571" cy="21026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F431-E20D-4D7E-A466-1726A4808956}">
  <dimension ref="A1:E128"/>
  <sheetViews>
    <sheetView showGridLines="0" topLeftCell="A88" zoomScale="130" zoomScaleNormal="130" workbookViewId="0">
      <selection activeCell="H44" sqref="H44"/>
    </sheetView>
  </sheetViews>
  <sheetFormatPr baseColWidth="10" defaultRowHeight="15.75" x14ac:dyDescent="0.25"/>
  <cols>
    <col min="1" max="1" width="33" style="46" customWidth="1"/>
    <col min="2" max="2" width="17" style="2" customWidth="1"/>
    <col min="3" max="3" width="16.28515625" style="3" customWidth="1"/>
    <col min="4" max="4" width="30.42578125" style="1" customWidth="1"/>
    <col min="5" max="16384" width="11.42578125" style="1"/>
  </cols>
  <sheetData>
    <row r="1" spans="1:4" ht="15.95" customHeight="1" x14ac:dyDescent="0.25"/>
    <row r="2" spans="1:4" ht="15.95" customHeight="1" x14ac:dyDescent="0.25">
      <c r="A2" s="61" t="s">
        <v>16</v>
      </c>
      <c r="B2" s="61"/>
      <c r="C2" s="61"/>
    </row>
    <row r="3" spans="1:4" ht="15.95" customHeight="1" x14ac:dyDescent="0.25">
      <c r="A3" s="38" t="s">
        <v>0</v>
      </c>
      <c r="B3" s="7">
        <v>0</v>
      </c>
      <c r="C3" s="5" t="s">
        <v>3</v>
      </c>
      <c r="D3" s="16"/>
    </row>
    <row r="4" spans="1:4" ht="15.95" customHeight="1" x14ac:dyDescent="0.25">
      <c r="A4" s="38" t="s">
        <v>1</v>
      </c>
      <c r="B4" s="7">
        <v>0</v>
      </c>
      <c r="C4" s="5" t="s">
        <v>3</v>
      </c>
    </row>
    <row r="5" spans="1:4" ht="15.95" customHeight="1" x14ac:dyDescent="0.25">
      <c r="A5" s="38" t="s">
        <v>2</v>
      </c>
      <c r="B5" s="8">
        <v>0</v>
      </c>
      <c r="C5" s="5" t="s">
        <v>5</v>
      </c>
    </row>
    <row r="6" spans="1:4" ht="15.95" customHeight="1" x14ac:dyDescent="0.25">
      <c r="A6" s="38" t="s">
        <v>4</v>
      </c>
      <c r="B6" s="9" t="e">
        <f>(B3-B4)/B5</f>
        <v>#DIV/0!</v>
      </c>
      <c r="C6" s="6" t="s">
        <v>15</v>
      </c>
    </row>
    <row r="7" spans="1:4" ht="15.95" customHeight="1" x14ac:dyDescent="0.25">
      <c r="A7" s="38" t="s">
        <v>6</v>
      </c>
      <c r="B7" s="9" t="e">
        <f>(B3*(B5+1)+B4*(B5-1))/2/B5</f>
        <v>#DIV/0!</v>
      </c>
      <c r="C7" s="6"/>
    </row>
    <row r="8" spans="1:4" ht="15.95" customHeight="1" x14ac:dyDescent="0.25">
      <c r="A8" s="38" t="s">
        <v>20</v>
      </c>
      <c r="B8" s="10">
        <v>0</v>
      </c>
      <c r="C8" s="5" t="s">
        <v>19</v>
      </c>
    </row>
    <row r="9" spans="1:4" ht="15.95" customHeight="1" x14ac:dyDescent="0.25">
      <c r="A9" s="38" t="s">
        <v>9</v>
      </c>
      <c r="B9" s="9" t="e">
        <f>B7*B8</f>
        <v>#DIV/0!</v>
      </c>
      <c r="C9" s="6" t="s">
        <v>15</v>
      </c>
    </row>
    <row r="10" spans="1:4" ht="15.95" customHeight="1" x14ac:dyDescent="0.25">
      <c r="A10" s="38" t="s">
        <v>11</v>
      </c>
      <c r="B10" s="12">
        <v>0</v>
      </c>
      <c r="C10" s="5" t="s">
        <v>19</v>
      </c>
    </row>
    <row r="11" spans="1:4" ht="15.95" customHeight="1" x14ac:dyDescent="0.25">
      <c r="A11" s="38" t="s">
        <v>7</v>
      </c>
      <c r="B11" s="9" t="e">
        <f>B7*B10</f>
        <v>#DIV/0!</v>
      </c>
      <c r="C11" s="6" t="s">
        <v>15</v>
      </c>
    </row>
    <row r="12" spans="1:4" ht="15.95" customHeight="1" x14ac:dyDescent="0.25">
      <c r="A12" s="38" t="s">
        <v>12</v>
      </c>
      <c r="B12" s="12">
        <v>0</v>
      </c>
      <c r="C12" s="5" t="s">
        <v>14</v>
      </c>
    </row>
    <row r="13" spans="1:4" ht="15.95" customHeight="1" x14ac:dyDescent="0.25">
      <c r="A13" s="38" t="s">
        <v>10</v>
      </c>
      <c r="B13" s="9" t="e">
        <f>B7*B12</f>
        <v>#DIV/0!</v>
      </c>
      <c r="C13" s="6" t="s">
        <v>15</v>
      </c>
    </row>
    <row r="14" spans="1:4" ht="15.95" customHeight="1" x14ac:dyDescent="0.25">
      <c r="A14" s="38" t="s">
        <v>13</v>
      </c>
      <c r="B14" s="10">
        <v>0</v>
      </c>
      <c r="C14" s="5" t="s">
        <v>19</v>
      </c>
    </row>
    <row r="15" spans="1:4" ht="15.95" customHeight="1" x14ac:dyDescent="0.25">
      <c r="A15" s="38" t="s">
        <v>8</v>
      </c>
      <c r="B15" s="9" t="e">
        <f>B7*B14</f>
        <v>#DIV/0!</v>
      </c>
      <c r="C15" s="6" t="s">
        <v>15</v>
      </c>
      <c r="D15" s="16"/>
    </row>
    <row r="16" spans="1:4" ht="15.95" customHeight="1" x14ac:dyDescent="0.25">
      <c r="A16" s="38" t="s">
        <v>17</v>
      </c>
      <c r="B16" s="92">
        <v>0</v>
      </c>
      <c r="C16" s="6" t="s">
        <v>32</v>
      </c>
      <c r="D16" s="16"/>
    </row>
    <row r="17" spans="1:5" ht="15.95" customHeight="1" x14ac:dyDescent="0.25">
      <c r="A17" s="58" t="s">
        <v>22</v>
      </c>
      <c r="B17" s="9" t="e">
        <f>(B6+B9+B11+B13+B15)</f>
        <v>#DIV/0!</v>
      </c>
      <c r="C17" s="6" t="s">
        <v>15</v>
      </c>
    </row>
    <row r="18" spans="1:5" ht="15.95" customHeight="1" x14ac:dyDescent="0.25">
      <c r="A18" s="59"/>
      <c r="B18" s="11" t="e">
        <f>(B6+B9+B11+B13+B15)/B16</f>
        <v>#DIV/0!</v>
      </c>
      <c r="C18" s="6" t="s">
        <v>18</v>
      </c>
    </row>
    <row r="19" spans="1:5" ht="15.95" customHeight="1" x14ac:dyDescent="0.25">
      <c r="A19" s="28"/>
      <c r="B19" s="1"/>
      <c r="C19" s="1"/>
    </row>
    <row r="20" spans="1:5" ht="15.95" customHeight="1" x14ac:dyDescent="0.25">
      <c r="A20" s="64" t="s">
        <v>27</v>
      </c>
      <c r="B20" s="64"/>
      <c r="C20" s="64"/>
    </row>
    <row r="21" spans="1:5" s="17" customFormat="1" ht="15.95" customHeight="1" x14ac:dyDescent="0.25">
      <c r="A21" s="39" t="s">
        <v>28</v>
      </c>
      <c r="B21" s="18">
        <v>0</v>
      </c>
      <c r="C21" s="19" t="s">
        <v>29</v>
      </c>
    </row>
    <row r="22" spans="1:5" s="17" customFormat="1" ht="15.95" customHeight="1" x14ac:dyDescent="0.25">
      <c r="A22" s="39" t="s">
        <v>68</v>
      </c>
      <c r="B22" s="7">
        <v>0</v>
      </c>
      <c r="C22" s="19" t="s">
        <v>30</v>
      </c>
    </row>
    <row r="23" spans="1:5" ht="15.95" customHeight="1" x14ac:dyDescent="0.25">
      <c r="A23" s="65" t="s">
        <v>31</v>
      </c>
      <c r="B23" s="20">
        <f>B16*B21*B22</f>
        <v>0</v>
      </c>
      <c r="C23" s="23" t="s">
        <v>15</v>
      </c>
    </row>
    <row r="24" spans="1:5" ht="15.95" customHeight="1" x14ac:dyDescent="0.25">
      <c r="A24" s="66"/>
      <c r="B24" s="21">
        <f>B21*B22</f>
        <v>0</v>
      </c>
      <c r="C24" s="22" t="s">
        <v>33</v>
      </c>
    </row>
    <row r="25" spans="1:5" ht="15.95" customHeight="1" x14ac:dyDescent="0.25">
      <c r="A25" s="28"/>
      <c r="B25" s="1"/>
      <c r="C25" s="1"/>
    </row>
    <row r="26" spans="1:5" ht="15.95" customHeight="1" x14ac:dyDescent="0.25">
      <c r="A26" s="64" t="s">
        <v>37</v>
      </c>
      <c r="B26" s="64"/>
      <c r="C26" s="64"/>
    </row>
    <row r="27" spans="1:5" ht="15.95" customHeight="1" x14ac:dyDescent="0.25">
      <c r="A27" s="39" t="s">
        <v>34</v>
      </c>
      <c r="B27" s="18">
        <v>0</v>
      </c>
      <c r="C27" s="19" t="s">
        <v>33</v>
      </c>
      <c r="D27" s="26" t="s">
        <v>38</v>
      </c>
    </row>
    <row r="28" spans="1:5" ht="15.95" customHeight="1" x14ac:dyDescent="0.25">
      <c r="A28" s="39" t="s">
        <v>36</v>
      </c>
      <c r="B28" s="24">
        <v>0</v>
      </c>
      <c r="C28" s="19"/>
    </row>
    <row r="29" spans="1:5" ht="15.95" customHeight="1" x14ac:dyDescent="0.25">
      <c r="A29" s="62" t="s">
        <v>35</v>
      </c>
      <c r="B29" s="20">
        <f>B30*B16</f>
        <v>0</v>
      </c>
      <c r="C29" s="23" t="s">
        <v>15</v>
      </c>
    </row>
    <row r="30" spans="1:5" ht="15.95" customHeight="1" x14ac:dyDescent="0.25">
      <c r="A30" s="63"/>
      <c r="B30" s="25">
        <f>B27*B28</f>
        <v>0</v>
      </c>
      <c r="C30" s="23" t="s">
        <v>33</v>
      </c>
      <c r="D30" s="74"/>
      <c r="E30" s="74"/>
    </row>
    <row r="31" spans="1:5" ht="15.95" customHeight="1" x14ac:dyDescent="0.25">
      <c r="A31" s="28"/>
      <c r="B31" s="1"/>
      <c r="C31" s="1"/>
    </row>
    <row r="32" spans="1:5" ht="15.95" customHeight="1" x14ac:dyDescent="0.25">
      <c r="A32" s="57" t="s">
        <v>21</v>
      </c>
      <c r="B32" s="57"/>
      <c r="C32" s="57"/>
    </row>
    <row r="33" spans="1:4" ht="15.95" customHeight="1" x14ac:dyDescent="0.25">
      <c r="A33" s="60" t="s">
        <v>78</v>
      </c>
      <c r="B33" s="60"/>
      <c r="C33" s="60"/>
    </row>
    <row r="34" spans="1:4" ht="15.95" customHeight="1" x14ac:dyDescent="0.25">
      <c r="A34" s="60" t="s">
        <v>79</v>
      </c>
      <c r="B34" s="60"/>
      <c r="C34" s="60"/>
    </row>
    <row r="35" spans="1:4" ht="15.95" customHeight="1" x14ac:dyDescent="0.25">
      <c r="A35" s="60" t="s">
        <v>80</v>
      </c>
      <c r="B35" s="60"/>
      <c r="C35" s="60"/>
    </row>
    <row r="36" spans="1:4" ht="15.95" customHeight="1" x14ac:dyDescent="0.25">
      <c r="A36" s="40" t="s">
        <v>24</v>
      </c>
      <c r="B36" s="14">
        <v>0</v>
      </c>
      <c r="C36" s="15"/>
    </row>
    <row r="37" spans="1:4" ht="15.95" customHeight="1" x14ac:dyDescent="0.25">
      <c r="A37" s="58" t="s">
        <v>23</v>
      </c>
      <c r="B37" s="9" t="e">
        <f>B36*B3/B5</f>
        <v>#DIV/0!</v>
      </c>
      <c r="C37" s="6" t="s">
        <v>15</v>
      </c>
    </row>
    <row r="38" spans="1:4" ht="15.95" customHeight="1" x14ac:dyDescent="0.25">
      <c r="A38" s="59"/>
      <c r="B38" s="13" t="e">
        <f>B37/B16</f>
        <v>#DIV/0!</v>
      </c>
      <c r="C38" s="6" t="s">
        <v>18</v>
      </c>
    </row>
    <row r="39" spans="1:4" ht="15.95" customHeight="1" x14ac:dyDescent="0.25">
      <c r="A39" s="40" t="s">
        <v>25</v>
      </c>
      <c r="B39" s="11" t="e">
        <f>B38*0.25</f>
        <v>#DIV/0!</v>
      </c>
      <c r="C39" s="6" t="s">
        <v>18</v>
      </c>
    </row>
    <row r="40" spans="1:4" ht="15.95" customHeight="1" x14ac:dyDescent="0.25">
      <c r="A40" s="40" t="s">
        <v>26</v>
      </c>
      <c r="B40" s="11" t="e">
        <f>B38*0.75</f>
        <v>#DIV/0!</v>
      </c>
      <c r="C40" s="6" t="s">
        <v>18</v>
      </c>
    </row>
    <row r="41" spans="1:4" ht="15.95" customHeight="1" x14ac:dyDescent="0.25"/>
    <row r="42" spans="1:4" ht="15.95" customHeight="1" thickBot="1" x14ac:dyDescent="0.3">
      <c r="A42" s="55" t="s">
        <v>39</v>
      </c>
      <c r="B42" s="56"/>
      <c r="C42" s="56"/>
      <c r="D42" s="56"/>
    </row>
    <row r="43" spans="1:4" ht="15.95" customHeight="1" x14ac:dyDescent="0.25">
      <c r="A43" s="41" t="s">
        <v>54</v>
      </c>
      <c r="B43" s="32">
        <v>0</v>
      </c>
      <c r="C43" s="33" t="s">
        <v>49</v>
      </c>
      <c r="D43" s="67" t="s">
        <v>84</v>
      </c>
    </row>
    <row r="44" spans="1:4" ht="15.95" customHeight="1" x14ac:dyDescent="0.25">
      <c r="A44" s="42" t="s">
        <v>64</v>
      </c>
      <c r="B44" s="30">
        <v>0</v>
      </c>
      <c r="C44" s="31" t="s">
        <v>30</v>
      </c>
      <c r="D44" s="68"/>
    </row>
    <row r="45" spans="1:4" ht="15.95" customHeight="1" thickBot="1" x14ac:dyDescent="0.3">
      <c r="A45" s="43" t="s">
        <v>45</v>
      </c>
      <c r="B45" s="34">
        <v>1</v>
      </c>
      <c r="C45" s="35" t="s">
        <v>53</v>
      </c>
      <c r="D45" s="69"/>
    </row>
    <row r="46" spans="1:4" ht="15.95" customHeight="1" x14ac:dyDescent="0.25">
      <c r="A46" s="41" t="s">
        <v>54</v>
      </c>
      <c r="B46" s="32">
        <v>0</v>
      </c>
      <c r="C46" s="33" t="s">
        <v>49</v>
      </c>
      <c r="D46" s="67" t="s">
        <v>83</v>
      </c>
    </row>
    <row r="47" spans="1:4" ht="15.95" customHeight="1" x14ac:dyDescent="0.25">
      <c r="A47" s="42" t="s">
        <v>64</v>
      </c>
      <c r="B47" s="30">
        <v>0</v>
      </c>
      <c r="C47" s="31" t="s">
        <v>30</v>
      </c>
      <c r="D47" s="70"/>
    </row>
    <row r="48" spans="1:4" ht="15.95" customHeight="1" thickBot="1" x14ac:dyDescent="0.3">
      <c r="A48" s="43" t="s">
        <v>45</v>
      </c>
      <c r="B48" s="34">
        <v>1</v>
      </c>
      <c r="C48" s="35" t="s">
        <v>53</v>
      </c>
      <c r="D48" s="71"/>
    </row>
    <row r="49" spans="1:4" ht="15.95" customHeight="1" x14ac:dyDescent="0.25">
      <c r="A49" s="41" t="s">
        <v>54</v>
      </c>
      <c r="B49" s="32">
        <v>0</v>
      </c>
      <c r="C49" s="33" t="s">
        <v>49</v>
      </c>
      <c r="D49" s="67" t="s">
        <v>98</v>
      </c>
    </row>
    <row r="50" spans="1:4" ht="15.95" customHeight="1" x14ac:dyDescent="0.25">
      <c r="A50" s="42" t="s">
        <v>64</v>
      </c>
      <c r="B50" s="30">
        <v>0</v>
      </c>
      <c r="C50" s="31" t="s">
        <v>30</v>
      </c>
      <c r="D50" s="70"/>
    </row>
    <row r="51" spans="1:4" ht="15.95" customHeight="1" thickBot="1" x14ac:dyDescent="0.3">
      <c r="A51" s="43" t="s">
        <v>45</v>
      </c>
      <c r="B51" s="34">
        <v>1</v>
      </c>
      <c r="C51" s="35" t="s">
        <v>53</v>
      </c>
      <c r="D51" s="71"/>
    </row>
    <row r="52" spans="1:4" ht="15.95" customHeight="1" x14ac:dyDescent="0.25">
      <c r="A52" s="41" t="s">
        <v>54</v>
      </c>
      <c r="B52" s="32">
        <v>0</v>
      </c>
      <c r="C52" s="33" t="s">
        <v>49</v>
      </c>
      <c r="D52" s="67" t="s">
        <v>96</v>
      </c>
    </row>
    <row r="53" spans="1:4" ht="15.95" customHeight="1" x14ac:dyDescent="0.25">
      <c r="A53" s="42" t="s">
        <v>64</v>
      </c>
      <c r="B53" s="30">
        <v>0</v>
      </c>
      <c r="C53" s="31" t="s">
        <v>30</v>
      </c>
      <c r="D53" s="68"/>
    </row>
    <row r="54" spans="1:4" ht="15.95" customHeight="1" thickBot="1" x14ac:dyDescent="0.3">
      <c r="A54" s="43" t="s">
        <v>45</v>
      </c>
      <c r="B54" s="34">
        <v>1</v>
      </c>
      <c r="C54" s="35" t="s">
        <v>53</v>
      </c>
      <c r="D54" s="69"/>
    </row>
    <row r="55" spans="1:4" ht="15.95" customHeight="1" x14ac:dyDescent="0.25">
      <c r="A55" s="4" t="s">
        <v>55</v>
      </c>
      <c r="B55" s="36">
        <f>B43*B44/B45+B46*B47/B48+B49*B50/B51+B52*B53/B54</f>
        <v>0</v>
      </c>
      <c r="C55" s="37" t="s">
        <v>18</v>
      </c>
    </row>
    <row r="56" spans="1:4" ht="15.95" customHeight="1" x14ac:dyDescent="0.25">
      <c r="A56" s="44"/>
    </row>
    <row r="57" spans="1:4" ht="15.95" customHeight="1" x14ac:dyDescent="0.25">
      <c r="A57" s="57" t="s">
        <v>40</v>
      </c>
      <c r="B57" s="57"/>
      <c r="C57" s="57"/>
    </row>
    <row r="58" spans="1:4" ht="15.95" customHeight="1" x14ac:dyDescent="0.25">
      <c r="A58" s="45" t="s">
        <v>56</v>
      </c>
      <c r="B58" s="30">
        <v>0</v>
      </c>
      <c r="C58" s="31" t="s">
        <v>52</v>
      </c>
    </row>
    <row r="59" spans="1:4" ht="15.95" customHeight="1" x14ac:dyDescent="0.25">
      <c r="A59" s="42" t="s">
        <v>64</v>
      </c>
      <c r="B59" s="30">
        <v>0</v>
      </c>
      <c r="C59" s="31" t="s">
        <v>57</v>
      </c>
    </row>
    <row r="60" spans="1:4" ht="15.95" customHeight="1" x14ac:dyDescent="0.25">
      <c r="A60" s="45" t="s">
        <v>58</v>
      </c>
      <c r="B60" s="30">
        <v>1</v>
      </c>
      <c r="C60" s="31" t="s">
        <v>53</v>
      </c>
    </row>
    <row r="61" spans="1:4" ht="15.95" customHeight="1" x14ac:dyDescent="0.25">
      <c r="A61" s="40" t="s">
        <v>59</v>
      </c>
      <c r="B61" s="11">
        <f>B58*B59/B60</f>
        <v>0</v>
      </c>
      <c r="C61" s="6"/>
    </row>
    <row r="62" spans="1:4" ht="15.95" customHeight="1" x14ac:dyDescent="0.25"/>
    <row r="63" spans="1:4" ht="15.95" customHeight="1" x14ac:dyDescent="0.25">
      <c r="A63" s="57" t="s">
        <v>41</v>
      </c>
      <c r="B63" s="57"/>
      <c r="C63" s="57"/>
    </row>
    <row r="64" spans="1:4" ht="15.95" customHeight="1" x14ac:dyDescent="0.25">
      <c r="A64" s="4" t="s">
        <v>60</v>
      </c>
      <c r="B64" s="36">
        <f>0.2*(B24+B55)</f>
        <v>0</v>
      </c>
      <c r="C64" s="37" t="s">
        <v>18</v>
      </c>
    </row>
    <row r="65" spans="1:4" ht="15.95" customHeight="1" x14ac:dyDescent="0.25"/>
    <row r="66" spans="1:4" ht="15.95" customHeight="1" thickBot="1" x14ac:dyDescent="0.3">
      <c r="A66" s="55" t="s">
        <v>42</v>
      </c>
      <c r="B66" s="56"/>
      <c r="C66" s="56"/>
      <c r="D66" s="56"/>
    </row>
    <row r="67" spans="1:4" ht="15.95" customHeight="1" x14ac:dyDescent="0.25">
      <c r="A67" s="41" t="s">
        <v>46</v>
      </c>
      <c r="B67" s="32">
        <v>0</v>
      </c>
      <c r="C67" s="33" t="s">
        <v>61</v>
      </c>
      <c r="D67" s="72" t="s">
        <v>123</v>
      </c>
    </row>
    <row r="68" spans="1:4" ht="15.95" customHeight="1" x14ac:dyDescent="0.25">
      <c r="A68" s="42" t="s">
        <v>64</v>
      </c>
      <c r="B68" s="30">
        <v>0</v>
      </c>
      <c r="C68" s="31" t="s">
        <v>62</v>
      </c>
      <c r="D68" s="68"/>
    </row>
    <row r="69" spans="1:4" ht="15.95" customHeight="1" thickBot="1" x14ac:dyDescent="0.3">
      <c r="A69" s="43" t="s">
        <v>45</v>
      </c>
      <c r="B69" s="34">
        <v>1</v>
      </c>
      <c r="C69" s="35" t="s">
        <v>53</v>
      </c>
      <c r="D69" s="69"/>
    </row>
    <row r="70" spans="1:4" ht="15.95" customHeight="1" x14ac:dyDescent="0.25">
      <c r="A70" s="4" t="s">
        <v>63</v>
      </c>
      <c r="B70" s="36">
        <f>B67*B68/B69</f>
        <v>0</v>
      </c>
      <c r="C70" s="37" t="s">
        <v>18</v>
      </c>
    </row>
    <row r="71" spans="1:4" ht="15.95" customHeight="1" x14ac:dyDescent="0.25"/>
    <row r="72" spans="1:4" ht="15.95" customHeight="1" thickBot="1" x14ac:dyDescent="0.3">
      <c r="A72" s="53" t="s">
        <v>43</v>
      </c>
      <c r="B72" s="54"/>
      <c r="C72" s="54"/>
      <c r="D72" s="54"/>
    </row>
    <row r="73" spans="1:4" ht="15.95" customHeight="1" x14ac:dyDescent="0.25">
      <c r="A73" s="41" t="s">
        <v>46</v>
      </c>
      <c r="B73" s="32">
        <v>0</v>
      </c>
      <c r="C73" s="33" t="s">
        <v>61</v>
      </c>
      <c r="D73" s="67" t="s">
        <v>115</v>
      </c>
    </row>
    <row r="74" spans="1:4" ht="15.95" customHeight="1" x14ac:dyDescent="0.25">
      <c r="A74" s="42" t="s">
        <v>64</v>
      </c>
      <c r="B74" s="30">
        <v>0</v>
      </c>
      <c r="C74" s="31" t="s">
        <v>67</v>
      </c>
      <c r="D74" s="70"/>
    </row>
    <row r="75" spans="1:4" ht="15.95" customHeight="1" thickBot="1" x14ac:dyDescent="0.3">
      <c r="A75" s="43" t="s">
        <v>65</v>
      </c>
      <c r="B75" s="34">
        <v>1</v>
      </c>
      <c r="C75" s="35" t="s">
        <v>53</v>
      </c>
      <c r="D75" s="71"/>
    </row>
    <row r="76" spans="1:4" ht="15.95" customHeight="1" x14ac:dyDescent="0.25">
      <c r="A76" s="41" t="s">
        <v>46</v>
      </c>
      <c r="B76" s="32">
        <v>0</v>
      </c>
      <c r="C76" s="33" t="s">
        <v>61</v>
      </c>
      <c r="D76" s="50" t="s">
        <v>113</v>
      </c>
    </row>
    <row r="77" spans="1:4" ht="15.95" customHeight="1" x14ac:dyDescent="0.25">
      <c r="A77" s="42" t="s">
        <v>64</v>
      </c>
      <c r="B77" s="30">
        <v>0</v>
      </c>
      <c r="C77" s="31" t="s">
        <v>67</v>
      </c>
      <c r="D77" s="51"/>
    </row>
    <row r="78" spans="1:4" ht="15.95" customHeight="1" thickBot="1" x14ac:dyDescent="0.3">
      <c r="A78" s="43" t="s">
        <v>65</v>
      </c>
      <c r="B78" s="34">
        <v>1</v>
      </c>
      <c r="C78" s="35" t="s">
        <v>53</v>
      </c>
      <c r="D78" s="52"/>
    </row>
    <row r="79" spans="1:4" ht="15.95" customHeight="1" x14ac:dyDescent="0.25">
      <c r="A79" s="41" t="s">
        <v>46</v>
      </c>
      <c r="B79" s="32">
        <v>0</v>
      </c>
      <c r="C79" s="33" t="s">
        <v>61</v>
      </c>
      <c r="D79" s="50" t="s">
        <v>66</v>
      </c>
    </row>
    <row r="80" spans="1:4" ht="15.95" customHeight="1" x14ac:dyDescent="0.25">
      <c r="A80" s="42" t="s">
        <v>64</v>
      </c>
      <c r="B80" s="30">
        <v>0</v>
      </c>
      <c r="C80" s="31" t="s">
        <v>67</v>
      </c>
      <c r="D80" s="51"/>
    </row>
    <row r="81" spans="1:4" ht="15.95" customHeight="1" thickBot="1" x14ac:dyDescent="0.3">
      <c r="A81" s="43" t="s">
        <v>65</v>
      </c>
      <c r="B81" s="34">
        <v>1</v>
      </c>
      <c r="C81" s="35" t="s">
        <v>53</v>
      </c>
      <c r="D81" s="52"/>
    </row>
    <row r="82" spans="1:4" ht="15.95" customHeight="1" x14ac:dyDescent="0.25">
      <c r="A82" s="41" t="s">
        <v>46</v>
      </c>
      <c r="B82" s="32">
        <v>0</v>
      </c>
      <c r="C82" s="33" t="s">
        <v>61</v>
      </c>
      <c r="D82" s="50" t="s">
        <v>114</v>
      </c>
    </row>
    <row r="83" spans="1:4" ht="15.95" customHeight="1" x14ac:dyDescent="0.25">
      <c r="A83" s="42" t="s">
        <v>64</v>
      </c>
      <c r="B83" s="30">
        <v>0</v>
      </c>
      <c r="C83" s="31" t="s">
        <v>67</v>
      </c>
      <c r="D83" s="51"/>
    </row>
    <row r="84" spans="1:4" ht="15.95" customHeight="1" thickBot="1" x14ac:dyDescent="0.3">
      <c r="A84" s="43" t="s">
        <v>65</v>
      </c>
      <c r="B84" s="34">
        <v>1</v>
      </c>
      <c r="C84" s="35" t="s">
        <v>53</v>
      </c>
      <c r="D84" s="52"/>
    </row>
    <row r="85" spans="1:4" ht="15.95" customHeight="1" x14ac:dyDescent="0.25">
      <c r="A85" s="41" t="s">
        <v>46</v>
      </c>
      <c r="B85" s="32">
        <v>0</v>
      </c>
      <c r="C85" s="33" t="s">
        <v>61</v>
      </c>
      <c r="D85" s="50" t="s">
        <v>75</v>
      </c>
    </row>
    <row r="86" spans="1:4" ht="15.95" customHeight="1" x14ac:dyDescent="0.25">
      <c r="A86" s="42" t="s">
        <v>64</v>
      </c>
      <c r="B86" s="30">
        <v>0</v>
      </c>
      <c r="C86" s="31" t="s">
        <v>67</v>
      </c>
      <c r="D86" s="51"/>
    </row>
    <row r="87" spans="1:4" ht="15.95" customHeight="1" thickBot="1" x14ac:dyDescent="0.3">
      <c r="A87" s="43" t="s">
        <v>65</v>
      </c>
      <c r="B87" s="34">
        <v>1</v>
      </c>
      <c r="C87" s="35" t="s">
        <v>53</v>
      </c>
      <c r="D87" s="52"/>
    </row>
    <row r="88" spans="1:4" ht="15.95" customHeight="1" x14ac:dyDescent="0.25">
      <c r="A88" s="4" t="s">
        <v>76</v>
      </c>
      <c r="B88" s="36">
        <f>B73*B74/B75+B76*B77/B78+B79*B80/B81+B82*B83/B84+B85*B86/B87</f>
        <v>0</v>
      </c>
      <c r="C88" s="37" t="s">
        <v>18</v>
      </c>
    </row>
    <row r="89" spans="1:4" ht="15.95" customHeight="1" x14ac:dyDescent="0.25"/>
    <row r="90" spans="1:4" ht="15.95" customHeight="1" thickBot="1" x14ac:dyDescent="0.3">
      <c r="A90" s="53" t="s">
        <v>44</v>
      </c>
      <c r="B90" s="54"/>
      <c r="C90" s="54"/>
      <c r="D90" s="54"/>
    </row>
    <row r="91" spans="1:4" ht="15.95" customHeight="1" x14ac:dyDescent="0.25">
      <c r="A91" s="41" t="s">
        <v>46</v>
      </c>
      <c r="B91" s="32">
        <v>0</v>
      </c>
      <c r="C91" s="33" t="s">
        <v>61</v>
      </c>
      <c r="D91" s="50" t="s">
        <v>69</v>
      </c>
    </row>
    <row r="92" spans="1:4" ht="15.95" customHeight="1" x14ac:dyDescent="0.25">
      <c r="A92" s="42" t="s">
        <v>64</v>
      </c>
      <c r="B92" s="30">
        <v>0</v>
      </c>
      <c r="C92" s="31" t="s">
        <v>67</v>
      </c>
      <c r="D92" s="51"/>
    </row>
    <row r="93" spans="1:4" ht="15.95" customHeight="1" thickBot="1" x14ac:dyDescent="0.3">
      <c r="A93" s="43" t="s">
        <v>65</v>
      </c>
      <c r="B93" s="34">
        <v>1</v>
      </c>
      <c r="C93" s="35" t="s">
        <v>53</v>
      </c>
      <c r="D93" s="52"/>
    </row>
    <row r="94" spans="1:4" ht="15.95" customHeight="1" x14ac:dyDescent="0.25">
      <c r="A94" s="41" t="s">
        <v>46</v>
      </c>
      <c r="B94" s="32">
        <v>0</v>
      </c>
      <c r="C94" s="33" t="s">
        <v>61</v>
      </c>
      <c r="D94" s="50" t="s">
        <v>70</v>
      </c>
    </row>
    <row r="95" spans="1:4" ht="15.95" customHeight="1" x14ac:dyDescent="0.25">
      <c r="A95" s="42" t="s">
        <v>64</v>
      </c>
      <c r="B95" s="30">
        <v>0</v>
      </c>
      <c r="C95" s="31" t="s">
        <v>67</v>
      </c>
      <c r="D95" s="51"/>
    </row>
    <row r="96" spans="1:4" ht="15.95" customHeight="1" thickBot="1" x14ac:dyDescent="0.3">
      <c r="A96" s="43" t="s">
        <v>65</v>
      </c>
      <c r="B96" s="34">
        <v>1</v>
      </c>
      <c r="C96" s="35" t="s">
        <v>53</v>
      </c>
      <c r="D96" s="52"/>
    </row>
    <row r="97" spans="1:4" ht="15.95" customHeight="1" x14ac:dyDescent="0.25">
      <c r="A97" s="41" t="s">
        <v>46</v>
      </c>
      <c r="B97" s="32">
        <v>0</v>
      </c>
      <c r="C97" s="33" t="s">
        <v>61</v>
      </c>
      <c r="D97" s="50" t="s">
        <v>71</v>
      </c>
    </row>
    <row r="98" spans="1:4" ht="15.95" customHeight="1" x14ac:dyDescent="0.25">
      <c r="A98" s="42" t="s">
        <v>64</v>
      </c>
      <c r="B98" s="30">
        <v>0</v>
      </c>
      <c r="C98" s="31" t="s">
        <v>67</v>
      </c>
      <c r="D98" s="51"/>
    </row>
    <row r="99" spans="1:4" ht="15.95" customHeight="1" thickBot="1" x14ac:dyDescent="0.3">
      <c r="A99" s="43" t="s">
        <v>65</v>
      </c>
      <c r="B99" s="34">
        <v>1</v>
      </c>
      <c r="C99" s="35" t="s">
        <v>53</v>
      </c>
      <c r="D99" s="52"/>
    </row>
    <row r="100" spans="1:4" ht="15.95" customHeight="1" x14ac:dyDescent="0.25">
      <c r="A100" s="41" t="s">
        <v>46</v>
      </c>
      <c r="B100" s="32">
        <v>0</v>
      </c>
      <c r="C100" s="33" t="s">
        <v>61</v>
      </c>
      <c r="D100" s="50" t="s">
        <v>72</v>
      </c>
    </row>
    <row r="101" spans="1:4" ht="15.95" customHeight="1" x14ac:dyDescent="0.25">
      <c r="A101" s="42" t="s">
        <v>64</v>
      </c>
      <c r="B101" s="30">
        <v>0</v>
      </c>
      <c r="C101" s="31" t="s">
        <v>67</v>
      </c>
      <c r="D101" s="51"/>
    </row>
    <row r="102" spans="1:4" ht="15.95" customHeight="1" thickBot="1" x14ac:dyDescent="0.3">
      <c r="A102" s="43" t="s">
        <v>65</v>
      </c>
      <c r="B102" s="34">
        <v>1</v>
      </c>
      <c r="C102" s="35" t="s">
        <v>53</v>
      </c>
      <c r="D102" s="52"/>
    </row>
    <row r="103" spans="1:4" ht="15.95" customHeight="1" x14ac:dyDescent="0.25">
      <c r="A103" s="41" t="s">
        <v>46</v>
      </c>
      <c r="B103" s="32">
        <v>0</v>
      </c>
      <c r="C103" s="33" t="s">
        <v>61</v>
      </c>
      <c r="D103" s="50" t="s">
        <v>74</v>
      </c>
    </row>
    <row r="104" spans="1:4" ht="15.95" customHeight="1" x14ac:dyDescent="0.25">
      <c r="A104" s="42" t="s">
        <v>64</v>
      </c>
      <c r="B104" s="30">
        <v>0</v>
      </c>
      <c r="C104" s="31" t="s">
        <v>67</v>
      </c>
      <c r="D104" s="51"/>
    </row>
    <row r="105" spans="1:4" ht="15.95" customHeight="1" thickBot="1" x14ac:dyDescent="0.3">
      <c r="A105" s="43" t="s">
        <v>65</v>
      </c>
      <c r="B105" s="34">
        <v>1</v>
      </c>
      <c r="C105" s="35" t="s">
        <v>53</v>
      </c>
      <c r="D105" s="52"/>
    </row>
    <row r="106" spans="1:4" ht="15.95" customHeight="1" x14ac:dyDescent="0.25">
      <c r="A106" s="41" t="s">
        <v>46</v>
      </c>
      <c r="B106" s="32">
        <v>0</v>
      </c>
      <c r="C106" s="33" t="s">
        <v>61</v>
      </c>
      <c r="D106" s="50" t="s">
        <v>73</v>
      </c>
    </row>
    <row r="107" spans="1:4" ht="15.95" customHeight="1" x14ac:dyDescent="0.25">
      <c r="A107" s="42" t="s">
        <v>64</v>
      </c>
      <c r="B107" s="30">
        <v>0</v>
      </c>
      <c r="C107" s="31" t="s">
        <v>67</v>
      </c>
      <c r="D107" s="51"/>
    </row>
    <row r="108" spans="1:4" ht="15.95" customHeight="1" thickBot="1" x14ac:dyDescent="0.3">
      <c r="A108" s="43" t="s">
        <v>65</v>
      </c>
      <c r="B108" s="34">
        <v>1</v>
      </c>
      <c r="C108" s="35" t="s">
        <v>53</v>
      </c>
      <c r="D108" s="52"/>
    </row>
    <row r="109" spans="1:4" ht="15.95" customHeight="1" x14ac:dyDescent="0.25">
      <c r="A109" s="4" t="s">
        <v>77</v>
      </c>
      <c r="B109" s="36">
        <f>B91*B92/B93+B94*B95/B96+B97*B98/B99+B100*B101/B102+B103*B104/B105+B106*B107/B108</f>
        <v>0</v>
      </c>
      <c r="C109" s="37" t="s">
        <v>18</v>
      </c>
    </row>
    <row r="112" spans="1:4" x14ac:dyDescent="0.25">
      <c r="A112" s="47" t="s">
        <v>16</v>
      </c>
      <c r="B112" s="11" t="e">
        <f>SUM(B113:B117)</f>
        <v>#DIV/0!</v>
      </c>
      <c r="C112" s="49" t="e">
        <f>B112/$B$128</f>
        <v>#DIV/0!</v>
      </c>
      <c r="D112" s="6" t="s">
        <v>18</v>
      </c>
    </row>
    <row r="113" spans="1:4" x14ac:dyDescent="0.25">
      <c r="A113" s="48" t="str">
        <f>A6</f>
        <v>Depreciación</v>
      </c>
      <c r="B113" s="11" t="e">
        <f>B6/B16</f>
        <v>#DIV/0!</v>
      </c>
      <c r="C113" s="49" t="e">
        <f>B113/$B$128</f>
        <v>#DIV/0!</v>
      </c>
      <c r="D113" s="6" t="s">
        <v>18</v>
      </c>
    </row>
    <row r="114" spans="1:4" x14ac:dyDescent="0.25">
      <c r="A114" s="48" t="str">
        <f>A9</f>
        <v>Costo de la inversión</v>
      </c>
      <c r="B114" s="11" t="e">
        <f>B9/B16</f>
        <v>#DIV/0!</v>
      </c>
      <c r="C114" s="49" t="e">
        <f t="shared" ref="C114:C117" si="0">B114/$B$128</f>
        <v>#DIV/0!</v>
      </c>
      <c r="D114" s="6" t="s">
        <v>18</v>
      </c>
    </row>
    <row r="115" spans="1:4" x14ac:dyDescent="0.25">
      <c r="A115" s="48" t="str">
        <f>A11</f>
        <v>Costo del seguro</v>
      </c>
      <c r="B115" s="11" t="e">
        <f>B11/B16</f>
        <v>#DIV/0!</v>
      </c>
      <c r="C115" s="49" t="e">
        <f t="shared" si="0"/>
        <v>#DIV/0!</v>
      </c>
      <c r="D115" s="6" t="s">
        <v>18</v>
      </c>
    </row>
    <row r="116" spans="1:4" x14ac:dyDescent="0.25">
      <c r="A116" s="48" t="str">
        <f>A13</f>
        <v>Costo del almacenamiento</v>
      </c>
      <c r="B116" s="11" t="e">
        <f>B13/B16</f>
        <v>#DIV/0!</v>
      </c>
      <c r="C116" s="49" t="e">
        <f t="shared" si="0"/>
        <v>#DIV/0!</v>
      </c>
      <c r="D116" s="6" t="s">
        <v>18</v>
      </c>
    </row>
    <row r="117" spans="1:4" x14ac:dyDescent="0.25">
      <c r="A117" s="48" t="str">
        <f>A15</f>
        <v>Impuesto vehicular</v>
      </c>
      <c r="B117" s="11" t="e">
        <f>B15/B16</f>
        <v>#DIV/0!</v>
      </c>
      <c r="C117" s="49" t="e">
        <f t="shared" si="0"/>
        <v>#DIV/0!</v>
      </c>
      <c r="D117" s="6" t="s">
        <v>18</v>
      </c>
    </row>
    <row r="118" spans="1:4" x14ac:dyDescent="0.25">
      <c r="A118" s="47" t="s">
        <v>81</v>
      </c>
      <c r="B118" s="11" t="e">
        <f>SUM(B119:B127)</f>
        <v>#DIV/0!</v>
      </c>
      <c r="C118" s="49" t="e">
        <f>B118/$B$128</f>
        <v>#DIV/0!</v>
      </c>
      <c r="D118" s="6" t="s">
        <v>18</v>
      </c>
    </row>
    <row r="119" spans="1:4" x14ac:dyDescent="0.25">
      <c r="A119" s="48" t="str">
        <f>A23</f>
        <v>Costo de combustible</v>
      </c>
      <c r="B119" s="11">
        <f>B24</f>
        <v>0</v>
      </c>
      <c r="C119" s="49" t="e">
        <f>B119/$B$128</f>
        <v>#DIV/0!</v>
      </c>
      <c r="D119" s="6" t="s">
        <v>18</v>
      </c>
    </row>
    <row r="120" spans="1:4" x14ac:dyDescent="0.25">
      <c r="A120" s="48" t="str">
        <f>A29</f>
        <v>Operador especializado</v>
      </c>
      <c r="B120" s="11">
        <f>B30</f>
        <v>0</v>
      </c>
      <c r="C120" s="49" t="e">
        <f t="shared" ref="C120:C127" si="1">B120/$B$128</f>
        <v>#DIV/0!</v>
      </c>
      <c r="D120" s="6" t="s">
        <v>18</v>
      </c>
    </row>
    <row r="121" spans="1:4" x14ac:dyDescent="0.25">
      <c r="A121" s="48" t="str">
        <f>A37</f>
        <v>Costo de mantenimiento</v>
      </c>
      <c r="B121" s="11" t="e">
        <f>B38</f>
        <v>#DIV/0!</v>
      </c>
      <c r="C121" s="49" t="e">
        <f t="shared" si="1"/>
        <v>#DIV/0!</v>
      </c>
      <c r="D121" s="6" t="s">
        <v>18</v>
      </c>
    </row>
    <row r="122" spans="1:4" x14ac:dyDescent="0.25">
      <c r="A122" s="48" t="str">
        <f>A55</f>
        <v>Costo de lubricantes</v>
      </c>
      <c r="B122" s="11">
        <f>B55</f>
        <v>0</v>
      </c>
      <c r="C122" s="49" t="e">
        <f t="shared" si="1"/>
        <v>#DIV/0!</v>
      </c>
      <c r="D122" s="6" t="s">
        <v>18</v>
      </c>
    </row>
    <row r="123" spans="1:4" x14ac:dyDescent="0.25">
      <c r="A123" s="48" t="str">
        <f>A61</f>
        <v>Costo de grasa</v>
      </c>
      <c r="B123" s="11">
        <f>B61</f>
        <v>0</v>
      </c>
      <c r="C123" s="49" t="e">
        <f t="shared" si="1"/>
        <v>#DIV/0!</v>
      </c>
      <c r="D123" s="6" t="s">
        <v>18</v>
      </c>
    </row>
    <row r="124" spans="1:4" x14ac:dyDescent="0.25">
      <c r="A124" s="48" t="str">
        <f>A64</f>
        <v>Costo de filtros</v>
      </c>
      <c r="B124" s="11">
        <f>B64</f>
        <v>0</v>
      </c>
      <c r="C124" s="49" t="e">
        <f t="shared" si="1"/>
        <v>#DIV/0!</v>
      </c>
      <c r="D124" s="6" t="s">
        <v>18</v>
      </c>
    </row>
    <row r="125" spans="1:4" x14ac:dyDescent="0.25">
      <c r="A125" s="48" t="str">
        <f>A70</f>
        <v>Costo de neumáticos</v>
      </c>
      <c r="B125" s="11">
        <f>B64</f>
        <v>0</v>
      </c>
      <c r="C125" s="49" t="e">
        <f t="shared" si="1"/>
        <v>#DIV/0!</v>
      </c>
      <c r="D125" s="6" t="s">
        <v>18</v>
      </c>
    </row>
    <row r="126" spans="1:4" x14ac:dyDescent="0.25">
      <c r="A126" s="48" t="str">
        <f>A88</f>
        <v>Costo de piezas de desgaste</v>
      </c>
      <c r="B126" s="11">
        <f>B88</f>
        <v>0</v>
      </c>
      <c r="C126" s="49" t="e">
        <f t="shared" si="1"/>
        <v>#DIV/0!</v>
      </c>
      <c r="D126" s="6" t="s">
        <v>18</v>
      </c>
    </row>
    <row r="127" spans="1:4" x14ac:dyDescent="0.25">
      <c r="A127" s="48" t="str">
        <f>A109</f>
        <v>Costo de herramientas de corte</v>
      </c>
      <c r="B127" s="11">
        <f>B109</f>
        <v>0</v>
      </c>
      <c r="C127" s="49" t="e">
        <f t="shared" si="1"/>
        <v>#DIV/0!</v>
      </c>
      <c r="D127" s="6" t="s">
        <v>18</v>
      </c>
    </row>
    <row r="128" spans="1:4" x14ac:dyDescent="0.25">
      <c r="A128" s="47" t="s">
        <v>82</v>
      </c>
      <c r="B128" s="11" t="e">
        <f>B112+B118</f>
        <v>#DIV/0!</v>
      </c>
      <c r="C128" s="49" t="e">
        <f>C112+C118</f>
        <v>#DIV/0!</v>
      </c>
      <c r="D128" s="6" t="s">
        <v>18</v>
      </c>
    </row>
  </sheetData>
  <mergeCells count="33">
    <mergeCell ref="A2:C2"/>
    <mergeCell ref="A32:C32"/>
    <mergeCell ref="A29:A30"/>
    <mergeCell ref="A37:A38"/>
    <mergeCell ref="A20:C20"/>
    <mergeCell ref="A23:A24"/>
    <mergeCell ref="A26:C26"/>
    <mergeCell ref="D49:D51"/>
    <mergeCell ref="A57:C57"/>
    <mergeCell ref="A63:C63"/>
    <mergeCell ref="A17:A18"/>
    <mergeCell ref="A33:C33"/>
    <mergeCell ref="A34:C34"/>
    <mergeCell ref="A35:C35"/>
    <mergeCell ref="A42:D42"/>
    <mergeCell ref="D46:D48"/>
    <mergeCell ref="D43:D45"/>
    <mergeCell ref="D52:D54"/>
    <mergeCell ref="D67:D69"/>
    <mergeCell ref="A66:D66"/>
    <mergeCell ref="D73:D75"/>
    <mergeCell ref="A72:D72"/>
    <mergeCell ref="A90:D90"/>
    <mergeCell ref="D91:D93"/>
    <mergeCell ref="D76:D78"/>
    <mergeCell ref="D79:D81"/>
    <mergeCell ref="D82:D84"/>
    <mergeCell ref="D85:D87"/>
    <mergeCell ref="D94:D96"/>
    <mergeCell ref="D100:D102"/>
    <mergeCell ref="D103:D105"/>
    <mergeCell ref="D106:D108"/>
    <mergeCell ref="D97:D9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3C2CA-5E97-435D-8AA0-C8BCED042ABD}">
  <dimension ref="A1:E48"/>
  <sheetViews>
    <sheetView showGridLines="0" tabSelected="1" zoomScale="140" zoomScaleNormal="140" workbookViewId="0">
      <selection activeCell="F31" sqref="F31"/>
    </sheetView>
  </sheetViews>
  <sheetFormatPr baseColWidth="10" defaultRowHeight="15.75" x14ac:dyDescent="0.25"/>
  <cols>
    <col min="1" max="1" width="39.7109375" style="1" customWidth="1"/>
    <col min="2" max="2" width="30.85546875" style="29" customWidth="1"/>
    <col min="3" max="3" width="29.7109375" style="82" customWidth="1"/>
    <col min="4" max="4" width="16" style="1" customWidth="1"/>
    <col min="5" max="16384" width="11.42578125" style="1"/>
  </cols>
  <sheetData>
    <row r="1" spans="1:4" x14ac:dyDescent="0.25">
      <c r="A1" s="27" t="s">
        <v>48</v>
      </c>
      <c r="B1" s="27" t="s">
        <v>45</v>
      </c>
      <c r="C1" s="75" t="s">
        <v>92</v>
      </c>
      <c r="D1" s="75" t="s">
        <v>118</v>
      </c>
    </row>
    <row r="2" spans="1:4" x14ac:dyDescent="0.25">
      <c r="A2" s="78" t="s">
        <v>83</v>
      </c>
      <c r="B2" s="73" t="s">
        <v>91</v>
      </c>
      <c r="C2" s="77">
        <v>25</v>
      </c>
      <c r="D2" s="76" t="s">
        <v>30</v>
      </c>
    </row>
    <row r="3" spans="1:4" x14ac:dyDescent="0.25">
      <c r="A3" s="78" t="s">
        <v>84</v>
      </c>
      <c r="B3" s="73" t="s">
        <v>88</v>
      </c>
      <c r="C3" s="89">
        <v>25</v>
      </c>
      <c r="D3" s="76" t="s">
        <v>30</v>
      </c>
    </row>
    <row r="4" spans="1:4" ht="31.5" x14ac:dyDescent="0.25">
      <c r="A4" s="79" t="s">
        <v>98</v>
      </c>
      <c r="B4" s="73" t="s">
        <v>87</v>
      </c>
      <c r="C4" s="89">
        <v>12</v>
      </c>
      <c r="D4" s="76" t="s">
        <v>30</v>
      </c>
    </row>
    <row r="5" spans="1:4" ht="31.5" x14ac:dyDescent="0.25">
      <c r="A5" s="79" t="s">
        <v>97</v>
      </c>
      <c r="B5" s="73" t="s">
        <v>90</v>
      </c>
      <c r="C5" s="89">
        <v>30</v>
      </c>
      <c r="D5" s="76" t="s">
        <v>30</v>
      </c>
    </row>
    <row r="6" spans="1:4" ht="31.5" x14ac:dyDescent="0.25">
      <c r="A6" s="79" t="s">
        <v>96</v>
      </c>
      <c r="B6" s="73" t="s">
        <v>89</v>
      </c>
      <c r="C6" s="89">
        <v>30</v>
      </c>
      <c r="D6" s="76" t="s">
        <v>30</v>
      </c>
    </row>
    <row r="7" spans="1:4" x14ac:dyDescent="0.25">
      <c r="A7" s="78" t="s">
        <v>85</v>
      </c>
      <c r="B7" s="73" t="s">
        <v>86</v>
      </c>
      <c r="C7" s="89">
        <v>21</v>
      </c>
      <c r="D7" s="76" t="s">
        <v>30</v>
      </c>
    </row>
    <row r="8" spans="1:4" x14ac:dyDescent="0.25">
      <c r="A8" s="78" t="s">
        <v>116</v>
      </c>
      <c r="B8" s="73" t="s">
        <v>117</v>
      </c>
      <c r="C8" s="89" t="s">
        <v>120</v>
      </c>
      <c r="D8" s="76" t="s">
        <v>119</v>
      </c>
    </row>
    <row r="9" spans="1:4" x14ac:dyDescent="0.25">
      <c r="A9" s="78" t="s">
        <v>122</v>
      </c>
      <c r="B9" s="73" t="s">
        <v>88</v>
      </c>
      <c r="C9" s="89">
        <v>40</v>
      </c>
      <c r="D9" s="76" t="s">
        <v>30</v>
      </c>
    </row>
    <row r="12" spans="1:4" x14ac:dyDescent="0.25">
      <c r="A12" s="80" t="s">
        <v>47</v>
      </c>
      <c r="B12" s="73">
        <v>84</v>
      </c>
      <c r="C12" s="73" t="s">
        <v>49</v>
      </c>
    </row>
    <row r="13" spans="1:4" x14ac:dyDescent="0.25">
      <c r="A13" s="80" t="s">
        <v>93</v>
      </c>
      <c r="B13" s="73">
        <v>120</v>
      </c>
      <c r="C13" s="73" t="s">
        <v>49</v>
      </c>
    </row>
    <row r="14" spans="1:4" x14ac:dyDescent="0.25">
      <c r="A14" s="80" t="s">
        <v>121</v>
      </c>
      <c r="B14" s="73">
        <v>2000</v>
      </c>
      <c r="C14" s="73" t="s">
        <v>49</v>
      </c>
    </row>
    <row r="15" spans="1:4" x14ac:dyDescent="0.25">
      <c r="A15" s="17"/>
      <c r="C15" s="29"/>
    </row>
    <row r="16" spans="1:4" ht="31.5" x14ac:dyDescent="0.25">
      <c r="A16" s="81" t="s">
        <v>99</v>
      </c>
      <c r="B16" s="73">
        <v>166</v>
      </c>
      <c r="C16" s="73" t="s">
        <v>49</v>
      </c>
    </row>
    <row r="17" spans="1:5" x14ac:dyDescent="0.25">
      <c r="A17" s="80" t="s">
        <v>50</v>
      </c>
      <c r="B17" s="73">
        <f>49*4</f>
        <v>196</v>
      </c>
      <c r="C17" s="73" t="s">
        <v>49</v>
      </c>
    </row>
    <row r="18" spans="1:5" x14ac:dyDescent="0.25">
      <c r="A18" s="80" t="s">
        <v>94</v>
      </c>
      <c r="B18" s="73">
        <v>311</v>
      </c>
      <c r="C18" s="73" t="s">
        <v>49</v>
      </c>
    </row>
    <row r="19" spans="1:5" x14ac:dyDescent="0.25">
      <c r="A19" s="80" t="s">
        <v>100</v>
      </c>
      <c r="B19" s="73">
        <f>16*4</f>
        <v>64</v>
      </c>
      <c r="C19" s="73" t="s">
        <v>49</v>
      </c>
    </row>
    <row r="20" spans="1:5" x14ac:dyDescent="0.25">
      <c r="A20" s="17"/>
      <c r="C20" s="29"/>
    </row>
    <row r="21" spans="1:5" x14ac:dyDescent="0.25">
      <c r="A21" s="80" t="s">
        <v>95</v>
      </c>
      <c r="B21" s="73">
        <v>94</v>
      </c>
      <c r="C21" s="73" t="s">
        <v>49</v>
      </c>
    </row>
    <row r="22" spans="1:5" x14ac:dyDescent="0.25">
      <c r="A22" s="80" t="s">
        <v>51</v>
      </c>
      <c r="B22" s="73">
        <v>441</v>
      </c>
      <c r="C22" s="73" t="s">
        <v>49</v>
      </c>
    </row>
    <row r="24" spans="1:5" x14ac:dyDescent="0.25">
      <c r="A24" s="80" t="s">
        <v>85</v>
      </c>
      <c r="B24" s="73">
        <v>75</v>
      </c>
      <c r="C24" s="73" t="s">
        <v>49</v>
      </c>
      <c r="E24" s="91"/>
    </row>
    <row r="25" spans="1:5" x14ac:dyDescent="0.25">
      <c r="A25" s="90"/>
      <c r="B25" s="88"/>
      <c r="C25" s="88"/>
      <c r="E25" s="91"/>
    </row>
    <row r="26" spans="1:5" x14ac:dyDescent="0.25">
      <c r="A26" s="80" t="s">
        <v>121</v>
      </c>
      <c r="B26" s="73">
        <v>2000</v>
      </c>
      <c r="C26" s="73" t="s">
        <v>49</v>
      </c>
      <c r="E26" s="91"/>
    </row>
    <row r="28" spans="1:5" x14ac:dyDescent="0.25">
      <c r="A28" s="84" t="s">
        <v>106</v>
      </c>
      <c r="B28" s="85"/>
      <c r="C28" s="83" t="s">
        <v>107</v>
      </c>
    </row>
    <row r="29" spans="1:5" x14ac:dyDescent="0.25">
      <c r="A29" s="86" t="s">
        <v>101</v>
      </c>
      <c r="B29" s="87"/>
      <c r="C29" s="76" t="s">
        <v>109</v>
      </c>
    </row>
    <row r="30" spans="1:5" x14ac:dyDescent="0.25">
      <c r="A30" s="86" t="s">
        <v>102</v>
      </c>
      <c r="B30" s="87"/>
      <c r="C30" s="76" t="s">
        <v>110</v>
      </c>
    </row>
    <row r="31" spans="1:5" x14ac:dyDescent="0.25">
      <c r="A31" s="86" t="s">
        <v>103</v>
      </c>
      <c r="B31" s="87"/>
      <c r="C31" s="76" t="s">
        <v>111</v>
      </c>
    </row>
    <row r="32" spans="1:5" x14ac:dyDescent="0.25">
      <c r="A32" s="86" t="s">
        <v>104</v>
      </c>
      <c r="B32" s="87"/>
      <c r="C32" s="76" t="s">
        <v>112</v>
      </c>
    </row>
    <row r="33" spans="1:3" x14ac:dyDescent="0.25">
      <c r="A33" s="86" t="s">
        <v>105</v>
      </c>
      <c r="B33" s="87"/>
      <c r="C33" s="76" t="s">
        <v>108</v>
      </c>
    </row>
    <row r="48" spans="1:3" x14ac:dyDescent="0.25">
      <c r="B48" s="1"/>
    </row>
  </sheetData>
  <mergeCells count="6">
    <mergeCell ref="A32:B32"/>
    <mergeCell ref="A33:B33"/>
    <mergeCell ref="A28:B28"/>
    <mergeCell ref="A29:B29"/>
    <mergeCell ref="A30:B30"/>
    <mergeCell ref="A31:B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 - DEYVI ANTHONY LOPEZ RIOS</dc:creator>
  <cp:lastModifiedBy>DOCENTE - DEYVI ANTHONY LOPEZ RIOS</cp:lastModifiedBy>
  <dcterms:created xsi:type="dcterms:W3CDTF">2024-04-15T17:49:02Z</dcterms:created>
  <dcterms:modified xsi:type="dcterms:W3CDTF">2024-04-20T01:05:24Z</dcterms:modified>
</cp:coreProperties>
</file>