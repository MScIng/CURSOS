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Deyvi López\Magna\Gestión de flota minera\Módulo Nro. 04\"/>
    </mc:Choice>
  </mc:AlternateContent>
  <xr:revisionPtr revIDLastSave="0" documentId="13_ncr:1_{0DF35795-7ACE-48FC-A8D9-670CEAEE0F0F}" xr6:coauthVersionLast="47" xr6:coauthVersionMax="47" xr10:uidLastSave="{00000000-0000-0000-0000-000000000000}"/>
  <bookViews>
    <workbookView xWindow="-120" yWindow="-120" windowWidth="29040" windowHeight="15840" xr2:uid="{B0A748F6-81E8-4CB2-BC5D-5A6371F93E0A}"/>
  </bookViews>
  <sheets>
    <sheet name="Caso Excavadora" sheetId="1" r:id="rId1"/>
    <sheet name="Tiempo mantenimiento" sheetId="3" r:id="rId2"/>
    <sheet name="Cost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E26" i="2" s="1"/>
  <c r="F26" i="2" s="1"/>
  <c r="G26" i="2" s="1"/>
  <c r="H26" i="2" s="1"/>
  <c r="F23" i="2"/>
  <c r="G23" i="2"/>
  <c r="H23" i="2" s="1"/>
  <c r="F24" i="2"/>
  <c r="G24" i="2"/>
  <c r="H24" i="2" s="1"/>
  <c r="F25" i="2"/>
  <c r="G25" i="2"/>
  <c r="H25" i="2"/>
  <c r="E25" i="2"/>
  <c r="D24" i="2"/>
  <c r="E24" i="2" s="1"/>
  <c r="D23" i="2"/>
  <c r="E23" i="2" s="1"/>
  <c r="D17" i="2"/>
  <c r="D18" i="2"/>
  <c r="B14" i="3"/>
  <c r="D11" i="2"/>
  <c r="B21" i="3"/>
  <c r="C21" i="3" s="1"/>
  <c r="B20" i="3"/>
  <c r="D20" i="3" s="1"/>
  <c r="B19" i="3"/>
  <c r="D19" i="3" s="1"/>
  <c r="B18" i="3"/>
  <c r="D18" i="3" s="1"/>
  <c r="B17" i="3"/>
  <c r="C17" i="3" s="1"/>
  <c r="A20" i="3"/>
  <c r="D25" i="2" l="1"/>
  <c r="C18" i="3"/>
  <c r="C20" i="3"/>
  <c r="C19" i="3"/>
  <c r="D17" i="3"/>
  <c r="D21" i="3"/>
  <c r="D15" i="2"/>
  <c r="D8" i="2"/>
  <c r="C5" i="2"/>
  <c r="D22" i="3" l="1"/>
  <c r="G8" i="2"/>
  <c r="H8" i="2"/>
  <c r="C19" i="2"/>
  <c r="D16" i="2"/>
  <c r="E16" i="2" s="1"/>
  <c r="F16" i="2" s="1"/>
  <c r="G16" i="2" s="1"/>
  <c r="H16" i="2" s="1"/>
  <c r="D10" i="2"/>
  <c r="E10" i="2" s="1"/>
  <c r="F10" i="2" s="1"/>
  <c r="G10" i="2" s="1"/>
  <c r="H10" i="2" s="1"/>
  <c r="D12" i="2"/>
  <c r="E12" i="2" s="1"/>
  <c r="E11" i="2"/>
  <c r="F11" i="2" s="1"/>
  <c r="G11" i="2" s="1"/>
  <c r="H11" i="2" s="1"/>
  <c r="E8" i="2"/>
  <c r="F8" i="2"/>
  <c r="E14" i="2"/>
  <c r="F14" i="2" s="1"/>
  <c r="G14" i="2" s="1"/>
  <c r="H14" i="2" s="1"/>
  <c r="D13" i="2"/>
  <c r="E13" i="2" s="1"/>
  <c r="F13" i="2" s="1"/>
  <c r="G13" i="2" s="1"/>
  <c r="H13" i="2" s="1"/>
  <c r="E15" i="2"/>
  <c r="F15" i="2" s="1"/>
  <c r="G15" i="2" s="1"/>
  <c r="H15" i="2" s="1"/>
  <c r="E18" i="2" l="1"/>
  <c r="F18" i="2" s="1"/>
  <c r="G18" i="2" s="1"/>
  <c r="H18" i="2" s="1"/>
  <c r="E17" i="2"/>
  <c r="F17" i="2" s="1"/>
  <c r="G17" i="2" s="1"/>
  <c r="H17" i="2" s="1"/>
  <c r="F12" i="2"/>
  <c r="E19" i="2" l="1"/>
  <c r="D19" i="2"/>
  <c r="F19" i="2"/>
  <c r="G12" i="2"/>
  <c r="H12" i="2" l="1"/>
  <c r="H19" i="2" s="1"/>
  <c r="G19" i="2"/>
  <c r="C20" i="2" s="1"/>
</calcChain>
</file>

<file path=xl/sharedStrings.xml><?xml version="1.0" encoding="utf-8"?>
<sst xmlns="http://schemas.openxmlformats.org/spreadsheetml/2006/main" count="72" uniqueCount="47">
  <si>
    <t>Inversión</t>
  </si>
  <si>
    <t>Impuestos</t>
  </si>
  <si>
    <t>Almacenamiento</t>
  </si>
  <si>
    <t>Combustible</t>
  </si>
  <si>
    <t>Mantenimiento preventivo</t>
  </si>
  <si>
    <t>Valor residual</t>
  </si>
  <si>
    <t>Perdida de producción</t>
  </si>
  <si>
    <t>Flujo de caja</t>
  </si>
  <si>
    <t>Elementos de desgaste</t>
  </si>
  <si>
    <t>Neumáticos</t>
  </si>
  <si>
    <t>Herramientas de corte</t>
  </si>
  <si>
    <t>DETALLE</t>
  </si>
  <si>
    <t>Mantenimiento correctivo</t>
  </si>
  <si>
    <t>Equipo back up</t>
  </si>
  <si>
    <t>Costo del equipo back up (USD/día)</t>
  </si>
  <si>
    <t>Item</t>
  </si>
  <si>
    <t>Costo promedio (USD)</t>
  </si>
  <si>
    <t>Frecuencia  (h)</t>
  </si>
  <si>
    <t>Duración promedio (Día)</t>
  </si>
  <si>
    <t>Equipo nuevo</t>
  </si>
  <si>
    <t xml:space="preserve">Vida óptima </t>
  </si>
  <si>
    <t>Horas de operación al año</t>
  </si>
  <si>
    <t>Consumo de combustible (gl/h)</t>
  </si>
  <si>
    <t>Producción (m3/h)</t>
  </si>
  <si>
    <t>Costo de la pérdida de producción (USD/m3)</t>
  </si>
  <si>
    <t>Venta de equipo anterior</t>
  </si>
  <si>
    <t>TASA DE DESCUENTO (TAMEX)</t>
  </si>
  <si>
    <t xml:space="preserve">Mantenimiento correctivo </t>
  </si>
  <si>
    <t>Excavadora hidráulica</t>
  </si>
  <si>
    <t>VALOR NETO ACTUAL</t>
  </si>
  <si>
    <t>Horas de trabajo anual</t>
  </si>
  <si>
    <t>COSTO</t>
  </si>
  <si>
    <t>TIEMPO</t>
  </si>
  <si>
    <t>Preventivo</t>
  </si>
  <si>
    <t>TOTAL</t>
  </si>
  <si>
    <t xml:space="preserve">Vida óptima (h) </t>
  </si>
  <si>
    <t>#  EVENTO</t>
  </si>
  <si>
    <t xml:space="preserve">Correctivo </t>
  </si>
  <si>
    <r>
      <t xml:space="preserve">Seguros </t>
    </r>
    <r>
      <rPr>
        <b/>
        <sz val="12"/>
        <color rgb="FFFF0000"/>
        <rFont val="Aptos"/>
        <family val="2"/>
      </rPr>
      <t>(4%)</t>
    </r>
  </si>
  <si>
    <t xml:space="preserve">VALOR DEL EQUIPO </t>
  </si>
  <si>
    <t xml:space="preserve">Calcule el costo horario de una  excavadora hidráulica cuyo motor tiene de 200 kW, y cuenta con pluma de excavación de gran volumen y cucharon de 4 m3. El precio de una excavadora nueva es USD 250,000. La operación requiere que la excavadora produzca 150 m3/h, 3000 horas al año (no incluye mantenimiento), los 365 días del año. Considere que el valor comercial del equipo después de 5 años de uso sería USD 150,000. Asimimo la suma asegurada para un equipo se reduce 10% por cada año de antigüedad del equipo. En este caso no se tiene que pagar impuestos al fisco por la operación del equipo y el costo de almacenamiento es USD 5 por día calendario y cada vez que el equipo ingresa al taller por mantenimiento debe ser reemplazado por un equipo back up cuya producción es 125 m3/h. </t>
  </si>
  <si>
    <t>Dias de trabajo anual</t>
  </si>
  <si>
    <t>horas por cada día</t>
  </si>
  <si>
    <t>HORAS ANUALES (150 m3/h)</t>
  </si>
  <si>
    <t>HORAS ANUALES (125 m3/h)</t>
  </si>
  <si>
    <t>PRODUCCIÓN (m3)</t>
  </si>
  <si>
    <t>INGRESOS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</si>
</sst>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9" formatCode="_-* #,##0.00_-;\-* #,##0.00_-;_-* &quot;-&quot;??_-;_-@"/>
    <numFmt numFmtId="170" formatCode="0.0"/>
    <numFmt numFmtId="176" formatCode="[$USD]\ #,##0.0"/>
    <numFmt numFmtId="177" formatCode="[$USD]\ 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ptos"/>
      <family val="2"/>
    </font>
    <font>
      <sz val="12"/>
      <color rgb="FFFFFFFF"/>
      <name val="Aptos"/>
      <family val="2"/>
    </font>
    <font>
      <sz val="12"/>
      <color rgb="FF000000"/>
      <name val="Aptos"/>
      <family val="2"/>
    </font>
    <font>
      <b/>
      <sz val="12"/>
      <color rgb="FFFFFFFF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b/>
      <sz val="12"/>
      <color theme="0"/>
      <name val="Aptos"/>
      <family val="2"/>
    </font>
    <font>
      <b/>
      <sz val="12"/>
      <color rgb="FFFF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/>
    </xf>
    <xf numFmtId="3" fontId="5" fillId="6" borderId="0" xfId="0" applyNumberFormat="1" applyFont="1" applyFill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 wrapText="1"/>
    </xf>
    <xf numFmtId="3" fontId="3" fillId="6" borderId="0" xfId="0" applyNumberFormat="1" applyFont="1" applyFill="1" applyAlignment="1">
      <alignment horizontal="center" vertical="center" wrapText="1"/>
    </xf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 wrapText="1"/>
    </xf>
    <xf numFmtId="2" fontId="3" fillId="0" borderId="0" xfId="0" applyNumberFormat="1" applyFont="1"/>
    <xf numFmtId="0" fontId="6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169" fontId="3" fillId="0" borderId="0" xfId="0" applyNumberFormat="1" applyFont="1" applyAlignment="1">
      <alignment horizontal="center"/>
    </xf>
    <xf numFmtId="169" fontId="3" fillId="0" borderId="0" xfId="0" applyNumberFormat="1" applyFont="1"/>
    <xf numFmtId="0" fontId="6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0" borderId="1" xfId="0" applyFont="1" applyBorder="1"/>
    <xf numFmtId="3" fontId="8" fillId="8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/>
    <xf numFmtId="0" fontId="9" fillId="9" borderId="1" xfId="0" applyFont="1" applyFill="1" applyBorder="1" applyAlignment="1">
      <alignment horizontal="center"/>
    </xf>
    <xf numFmtId="0" fontId="3" fillId="0" borderId="1" xfId="0" applyFont="1" applyBorder="1"/>
    <xf numFmtId="170" fontId="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3" fillId="0" borderId="1" xfId="0" applyNumberFormat="1" applyFont="1" applyBorder="1" applyAlignment="1"/>
    <xf numFmtId="2" fontId="7" fillId="0" borderId="1" xfId="0" applyNumberFormat="1" applyFont="1" applyBorder="1" applyAlignment="1"/>
    <xf numFmtId="1" fontId="3" fillId="0" borderId="1" xfId="0" applyNumberFormat="1" applyFont="1" applyBorder="1" applyAlignment="1">
      <alignment horizontal="center"/>
    </xf>
    <xf numFmtId="0" fontId="3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 wrapText="1"/>
    </xf>
    <xf numFmtId="10" fontId="3" fillId="4" borderId="0" xfId="1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3" fontId="7" fillId="5" borderId="0" xfId="0" applyNumberFormat="1" applyFont="1" applyFill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center" vertical="center"/>
    </xf>
    <xf numFmtId="3" fontId="3" fillId="0" borderId="0" xfId="0" applyNumberFormat="1" applyFont="1"/>
    <xf numFmtId="176" fontId="3" fillId="4" borderId="0" xfId="0" applyNumberFormat="1" applyFont="1" applyFill="1" applyAlignment="1">
      <alignment horizontal="right" vertical="center"/>
    </xf>
    <xf numFmtId="177" fontId="3" fillId="4" borderId="0" xfId="0" applyNumberFormat="1" applyFont="1" applyFill="1" applyAlignment="1">
      <alignment horizontal="right" vertical="center"/>
    </xf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170" fontId="3" fillId="4" borderId="0" xfId="0" applyNumberFormat="1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 wrapText="1"/>
    </xf>
    <xf numFmtId="176" fontId="3" fillId="4" borderId="0" xfId="0" applyNumberFormat="1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0</xdr:row>
      <xdr:rowOff>0</xdr:rowOff>
    </xdr:from>
    <xdr:ext cx="1438275" cy="695325"/>
    <xdr:pic>
      <xdr:nvPicPr>
        <xdr:cNvPr id="2" name="image1.png">
          <a:extLst>
            <a:ext uri="{FF2B5EF4-FFF2-40B4-BE49-F238E27FC236}">
              <a16:creationId xmlns:a16="http://schemas.microsoft.com/office/drawing/2014/main" id="{15F82EED-1D3F-43B4-BE8F-4014AA1206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52800" y="0"/>
          <a:ext cx="14382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1076325</xdr:colOff>
      <xdr:row>0</xdr:row>
      <xdr:rowOff>0</xdr:rowOff>
    </xdr:from>
    <xdr:ext cx="9525" cy="28575"/>
    <xdr:pic>
      <xdr:nvPicPr>
        <xdr:cNvPr id="3" name="image2.png">
          <a:extLst>
            <a:ext uri="{FF2B5EF4-FFF2-40B4-BE49-F238E27FC236}">
              <a16:creationId xmlns:a16="http://schemas.microsoft.com/office/drawing/2014/main" id="{F31A384D-B117-4928-9687-BC66551C4A5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72150" y="0"/>
          <a:ext cx="9525" cy="28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DD60-8EE7-4C40-A528-3F272DF2AC63}">
  <dimension ref="A1:H15"/>
  <sheetViews>
    <sheetView showGridLines="0" tabSelected="1" zoomScale="140" zoomScaleNormal="140" workbookViewId="0">
      <selection activeCell="I9" sqref="I9"/>
    </sheetView>
  </sheetViews>
  <sheetFormatPr baseColWidth="10" defaultRowHeight="15" x14ac:dyDescent="0.25"/>
  <cols>
    <col min="1" max="1" width="27.7109375" customWidth="1"/>
    <col min="2" max="2" width="16.42578125" customWidth="1"/>
    <col min="3" max="3" width="17" customWidth="1"/>
    <col min="4" max="4" width="15.140625" customWidth="1"/>
    <col min="5" max="5" width="19.85546875" customWidth="1"/>
    <col min="6" max="6" width="17.5703125" customWidth="1"/>
    <col min="7" max="7" width="21.28515625" customWidth="1"/>
    <col min="8" max="8" width="16.28515625" customWidth="1"/>
  </cols>
  <sheetData>
    <row r="1" spans="1:8" ht="21" customHeight="1" x14ac:dyDescent="0.25">
      <c r="A1" s="5" t="s">
        <v>40</v>
      </c>
      <c r="B1" s="5"/>
      <c r="C1" s="5"/>
      <c r="D1" s="5"/>
      <c r="E1" s="5"/>
      <c r="F1" s="5"/>
      <c r="G1" s="5"/>
      <c r="H1" s="5"/>
    </row>
    <row r="2" spans="1:8" ht="21" customHeight="1" x14ac:dyDescent="0.25">
      <c r="A2" s="5"/>
      <c r="B2" s="5"/>
      <c r="C2" s="5"/>
      <c r="D2" s="5"/>
      <c r="E2" s="5"/>
      <c r="F2" s="5"/>
      <c r="G2" s="5"/>
      <c r="H2" s="5"/>
    </row>
    <row r="3" spans="1:8" ht="22.5" customHeight="1" x14ac:dyDescent="0.25">
      <c r="A3" s="5"/>
      <c r="B3" s="5"/>
      <c r="C3" s="5"/>
      <c r="D3" s="5"/>
      <c r="E3" s="5"/>
      <c r="F3" s="5"/>
      <c r="G3" s="5"/>
      <c r="H3" s="5"/>
    </row>
    <row r="4" spans="1:8" ht="21.75" customHeight="1" x14ac:dyDescent="0.25">
      <c r="A4" s="5"/>
      <c r="B4" s="5"/>
      <c r="C4" s="5"/>
      <c r="D4" s="5"/>
      <c r="E4" s="5"/>
      <c r="F4" s="5"/>
      <c r="G4" s="5"/>
      <c r="H4" s="5"/>
    </row>
    <row r="5" spans="1:8" ht="16.5" customHeight="1" x14ac:dyDescent="0.25">
      <c r="A5" s="5"/>
      <c r="B5" s="5"/>
      <c r="C5" s="5"/>
      <c r="D5" s="5"/>
      <c r="E5" s="5"/>
      <c r="F5" s="5"/>
      <c r="G5" s="5"/>
      <c r="H5" s="5"/>
    </row>
    <row r="6" spans="1:8" ht="48" customHeight="1" x14ac:dyDescent="0.25">
      <c r="A6" s="15" t="s">
        <v>15</v>
      </c>
      <c r="B6" s="15" t="s">
        <v>0</v>
      </c>
      <c r="C6" s="15" t="s">
        <v>20</v>
      </c>
      <c r="D6" s="15" t="s">
        <v>21</v>
      </c>
      <c r="E6" s="15" t="s">
        <v>22</v>
      </c>
      <c r="F6" s="15" t="s">
        <v>23</v>
      </c>
      <c r="G6" s="15" t="s">
        <v>24</v>
      </c>
      <c r="H6" s="15" t="s">
        <v>14</v>
      </c>
    </row>
    <row r="7" spans="1:8" ht="15.75" x14ac:dyDescent="0.25">
      <c r="A7" s="7" t="s">
        <v>28</v>
      </c>
      <c r="B7" s="8">
        <v>250000</v>
      </c>
      <c r="C7" s="8">
        <v>15000</v>
      </c>
      <c r="D7" s="8">
        <v>3000</v>
      </c>
      <c r="E7" s="9">
        <v>4.5</v>
      </c>
      <c r="F7" s="10">
        <v>150</v>
      </c>
      <c r="G7" s="9">
        <v>1</v>
      </c>
      <c r="H7" s="8">
        <v>720</v>
      </c>
    </row>
    <row r="8" spans="1:8" ht="15.75" x14ac:dyDescent="0.25">
      <c r="A8" s="11"/>
      <c r="B8" s="11"/>
      <c r="C8" s="11"/>
      <c r="D8" s="11"/>
      <c r="E8" s="11"/>
      <c r="F8" s="11"/>
      <c r="G8" s="11"/>
      <c r="H8" s="11"/>
    </row>
    <row r="9" spans="1:8" ht="40.15" customHeight="1" x14ac:dyDescent="0.25">
      <c r="A9" s="12" t="s">
        <v>15</v>
      </c>
      <c r="B9" s="6" t="s">
        <v>16</v>
      </c>
      <c r="C9" s="6" t="s">
        <v>17</v>
      </c>
      <c r="D9" s="6" t="s">
        <v>18</v>
      </c>
      <c r="E9" s="11"/>
      <c r="F9" s="11"/>
      <c r="G9" s="11"/>
      <c r="H9" s="11"/>
    </row>
    <row r="10" spans="1:8" ht="36.75" customHeight="1" x14ac:dyDescent="0.25">
      <c r="A10" s="7" t="s">
        <v>4</v>
      </c>
      <c r="B10" s="8">
        <v>500</v>
      </c>
      <c r="C10" s="8">
        <v>250</v>
      </c>
      <c r="D10" s="9">
        <v>1</v>
      </c>
      <c r="E10" s="11"/>
      <c r="F10" s="11"/>
      <c r="G10" s="11"/>
      <c r="H10" s="11"/>
    </row>
    <row r="11" spans="1:8" ht="30" customHeight="1" x14ac:dyDescent="0.25">
      <c r="A11" s="13" t="s">
        <v>27</v>
      </c>
      <c r="B11" s="8">
        <v>1200</v>
      </c>
      <c r="C11" s="8">
        <v>1667</v>
      </c>
      <c r="D11" s="9">
        <v>1</v>
      </c>
      <c r="E11" s="11"/>
      <c r="F11" s="14"/>
      <c r="G11" s="11"/>
      <c r="H11" s="11"/>
    </row>
    <row r="12" spans="1:8" ht="30" customHeight="1" x14ac:dyDescent="0.25">
      <c r="A12" s="7" t="s">
        <v>8</v>
      </c>
      <c r="B12" s="8">
        <v>1500</v>
      </c>
      <c r="C12" s="8">
        <v>500</v>
      </c>
      <c r="D12" s="9">
        <v>1</v>
      </c>
      <c r="E12" s="11"/>
      <c r="F12" s="11"/>
      <c r="G12" s="11"/>
      <c r="H12" s="11"/>
    </row>
    <row r="13" spans="1:8" ht="30" customHeight="1" x14ac:dyDescent="0.25">
      <c r="A13" s="7" t="s">
        <v>10</v>
      </c>
      <c r="B13" s="8">
        <v>1200</v>
      </c>
      <c r="C13" s="8">
        <v>750</v>
      </c>
      <c r="D13" s="9">
        <v>0.5</v>
      </c>
      <c r="E13" s="11"/>
      <c r="F13" s="11"/>
      <c r="G13" s="11"/>
      <c r="H13" s="11"/>
    </row>
    <row r="14" spans="1:8" ht="30" customHeight="1" x14ac:dyDescent="0.25">
      <c r="A14" s="7" t="s">
        <v>9</v>
      </c>
      <c r="B14" s="8">
        <v>4800</v>
      </c>
      <c r="C14" s="8">
        <v>800</v>
      </c>
      <c r="D14" s="9">
        <v>0.5</v>
      </c>
      <c r="E14" s="11"/>
      <c r="F14" s="11"/>
      <c r="G14" s="11"/>
      <c r="H14" s="11"/>
    </row>
    <row r="15" spans="1:8" x14ac:dyDescent="0.25">
      <c r="G15" s="4"/>
    </row>
  </sheetData>
  <mergeCells count="1">
    <mergeCell ref="A1:H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CD0B-3458-4DB9-B0EE-7DD6BAA54BC5}">
  <dimension ref="A1:H26"/>
  <sheetViews>
    <sheetView showGridLines="0" workbookViewId="0">
      <selection activeCell="G22" sqref="G22"/>
    </sheetView>
  </sheetViews>
  <sheetFormatPr baseColWidth="10" defaultRowHeight="15.75" x14ac:dyDescent="0.25"/>
  <cols>
    <col min="1" max="1" width="29.7109375" style="11" customWidth="1"/>
    <col min="2" max="2" width="27.42578125" style="11" customWidth="1"/>
    <col min="3" max="6" width="11.42578125" style="11"/>
    <col min="7" max="7" width="20.140625" style="11" customWidth="1"/>
    <col min="8" max="8" width="18.7109375" style="11" customWidth="1"/>
    <col min="9" max="16384" width="11.42578125" style="11"/>
  </cols>
  <sheetData>
    <row r="1" spans="1:8" ht="90.75" customHeight="1" x14ac:dyDescent="0.25">
      <c r="A1" s="20" t="s">
        <v>15</v>
      </c>
      <c r="B1" s="20" t="s">
        <v>0</v>
      </c>
      <c r="C1" s="20" t="s">
        <v>35</v>
      </c>
      <c r="D1" s="20" t="s">
        <v>21</v>
      </c>
      <c r="E1" s="20" t="s">
        <v>22</v>
      </c>
      <c r="F1" s="20" t="s">
        <v>23</v>
      </c>
      <c r="G1" s="20" t="s">
        <v>24</v>
      </c>
      <c r="H1" s="20" t="s">
        <v>14</v>
      </c>
    </row>
    <row r="2" spans="1:8" ht="34.5" customHeight="1" x14ac:dyDescent="0.25">
      <c r="A2" s="21" t="s">
        <v>28</v>
      </c>
      <c r="B2" s="22">
        <v>250000</v>
      </c>
      <c r="C2" s="22">
        <v>15000</v>
      </c>
      <c r="D2" s="22">
        <v>5000</v>
      </c>
      <c r="E2" s="23">
        <v>4.5</v>
      </c>
      <c r="F2" s="24">
        <v>80</v>
      </c>
      <c r="G2" s="23">
        <v>3.5</v>
      </c>
      <c r="H2" s="22">
        <v>720</v>
      </c>
    </row>
    <row r="3" spans="1:8" x14ac:dyDescent="0.25">
      <c r="A3" s="16"/>
      <c r="B3" s="16"/>
      <c r="C3" s="16"/>
      <c r="D3" s="16"/>
      <c r="E3" s="16"/>
      <c r="F3" s="16"/>
      <c r="G3" s="16"/>
      <c r="H3" s="16"/>
    </row>
    <row r="4" spans="1:8" ht="47.25" x14ac:dyDescent="0.25">
      <c r="A4" s="25" t="s">
        <v>15</v>
      </c>
      <c r="B4" s="26" t="s">
        <v>16</v>
      </c>
      <c r="C4" s="26" t="s">
        <v>17</v>
      </c>
      <c r="D4" s="26" t="s">
        <v>18</v>
      </c>
      <c r="E4" s="17"/>
      <c r="F4" s="17"/>
    </row>
    <row r="5" spans="1:8" x14ac:dyDescent="0.25">
      <c r="A5" s="21" t="s">
        <v>4</v>
      </c>
      <c r="B5" s="22">
        <v>500</v>
      </c>
      <c r="C5" s="22">
        <v>250</v>
      </c>
      <c r="D5" s="23">
        <v>1</v>
      </c>
      <c r="E5" s="18"/>
      <c r="F5" s="18"/>
      <c r="G5" s="19"/>
    </row>
    <row r="6" spans="1:8" x14ac:dyDescent="0.25">
      <c r="A6" s="27" t="s">
        <v>27</v>
      </c>
      <c r="B6" s="22">
        <v>1200</v>
      </c>
      <c r="C6" s="22">
        <v>1667</v>
      </c>
      <c r="D6" s="23">
        <v>1</v>
      </c>
      <c r="E6" s="18"/>
      <c r="F6" s="18"/>
    </row>
    <row r="7" spans="1:8" x14ac:dyDescent="0.25">
      <c r="A7" s="21" t="s">
        <v>8</v>
      </c>
      <c r="B7" s="22">
        <v>1500</v>
      </c>
      <c r="C7" s="22">
        <v>500</v>
      </c>
      <c r="D7" s="23">
        <v>1</v>
      </c>
      <c r="E7" s="18"/>
      <c r="F7" s="18"/>
    </row>
    <row r="8" spans="1:8" x14ac:dyDescent="0.25">
      <c r="A8" s="21" t="s">
        <v>10</v>
      </c>
      <c r="B8" s="22">
        <v>1200</v>
      </c>
      <c r="C8" s="22">
        <v>750</v>
      </c>
      <c r="D8" s="23">
        <v>0.5</v>
      </c>
      <c r="E8" s="18"/>
      <c r="F8" s="18"/>
      <c r="G8" s="19"/>
    </row>
    <row r="9" spans="1:8" x14ac:dyDescent="0.25">
      <c r="A9" s="21" t="s">
        <v>9</v>
      </c>
      <c r="B9" s="22">
        <v>4800</v>
      </c>
      <c r="C9" s="22">
        <v>800</v>
      </c>
      <c r="D9" s="23">
        <v>0.5</v>
      </c>
      <c r="E9" s="18"/>
      <c r="F9" s="18"/>
    </row>
    <row r="11" spans="1:8" x14ac:dyDescent="0.25">
      <c r="E11" s="17"/>
    </row>
    <row r="12" spans="1:8" x14ac:dyDescent="0.25">
      <c r="A12" s="28" t="s">
        <v>30</v>
      </c>
      <c r="B12" s="29">
        <v>3000</v>
      </c>
      <c r="G12" s="18"/>
    </row>
    <row r="13" spans="1:8" x14ac:dyDescent="0.25">
      <c r="A13" s="28" t="s">
        <v>41</v>
      </c>
      <c r="B13" s="29">
        <v>365</v>
      </c>
      <c r="G13" s="18"/>
    </row>
    <row r="14" spans="1:8" x14ac:dyDescent="0.25">
      <c r="A14" s="28" t="s">
        <v>42</v>
      </c>
      <c r="B14" s="45">
        <f>B12/B13</f>
        <v>8.2191780821917817</v>
      </c>
      <c r="G14" s="18"/>
      <c r="H14" s="19"/>
    </row>
    <row r="16" spans="1:8" x14ac:dyDescent="0.25">
      <c r="A16" s="30" t="s">
        <v>19</v>
      </c>
      <c r="B16" s="31" t="s">
        <v>36</v>
      </c>
      <c r="C16" s="31" t="s">
        <v>31</v>
      </c>
      <c r="D16" s="31" t="s">
        <v>32</v>
      </c>
    </row>
    <row r="17" spans="1:5" x14ac:dyDescent="0.25">
      <c r="A17" s="32" t="s">
        <v>33</v>
      </c>
      <c r="B17" s="33">
        <f>B12/C5</f>
        <v>12</v>
      </c>
      <c r="C17" s="37">
        <f>B17*B5</f>
        <v>6000</v>
      </c>
      <c r="D17" s="35">
        <f>B17*D5</f>
        <v>12</v>
      </c>
    </row>
    <row r="18" spans="1:5" x14ac:dyDescent="0.25">
      <c r="A18" s="32" t="s">
        <v>37</v>
      </c>
      <c r="B18" s="33">
        <f>B12/C6</f>
        <v>1.7996400719856029</v>
      </c>
      <c r="C18" s="37">
        <f>B18*B6</f>
        <v>2159.5680863827233</v>
      </c>
      <c r="D18" s="35">
        <f>B18*D6</f>
        <v>1.7996400719856029</v>
      </c>
    </row>
    <row r="19" spans="1:5" x14ac:dyDescent="0.25">
      <c r="A19" s="32" t="s">
        <v>8</v>
      </c>
      <c r="B19" s="33">
        <f>B12/C7</f>
        <v>6</v>
      </c>
      <c r="C19" s="37">
        <f>B19*B7</f>
        <v>9000</v>
      </c>
      <c r="D19" s="35">
        <f>B19*D7</f>
        <v>6</v>
      </c>
    </row>
    <row r="20" spans="1:5" x14ac:dyDescent="0.25">
      <c r="A20" s="32" t="str">
        <f>A8</f>
        <v>Herramientas de corte</v>
      </c>
      <c r="B20" s="33">
        <f>B12/C8</f>
        <v>4</v>
      </c>
      <c r="C20" s="37">
        <f>B20*B8</f>
        <v>4800</v>
      </c>
      <c r="D20" s="35">
        <f>B20*D8</f>
        <v>2</v>
      </c>
    </row>
    <row r="21" spans="1:5" x14ac:dyDescent="0.25">
      <c r="A21" s="32" t="s">
        <v>9</v>
      </c>
      <c r="B21" s="33">
        <f>B12/C9</f>
        <v>3.75</v>
      </c>
      <c r="C21" s="37">
        <f>B21*B9</f>
        <v>18000</v>
      </c>
      <c r="D21" s="35">
        <f>B21*D9</f>
        <v>1.875</v>
      </c>
    </row>
    <row r="22" spans="1:5" x14ac:dyDescent="0.25">
      <c r="C22" s="34" t="s">
        <v>34</v>
      </c>
      <c r="D22" s="36">
        <f>SUM(D17:D21)</f>
        <v>23.674640071985603</v>
      </c>
    </row>
    <row r="23" spans="1:5" x14ac:dyDescent="0.25">
      <c r="D23" s="17"/>
      <c r="E23" s="17"/>
    </row>
    <row r="26" spans="1:5" x14ac:dyDescent="0.25">
      <c r="B26" s="4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C513-4DF2-4799-BD22-BEA076DDF89D}">
  <dimension ref="B2:H26"/>
  <sheetViews>
    <sheetView showGridLines="0" topLeftCell="A7" zoomScale="120" zoomScaleNormal="120" workbookViewId="0">
      <selection activeCell="I16" sqref="I16"/>
    </sheetView>
  </sheetViews>
  <sheetFormatPr baseColWidth="10" defaultRowHeight="15.75" x14ac:dyDescent="0.25"/>
  <cols>
    <col min="2" max="2" width="35.28515625" style="52" customWidth="1"/>
    <col min="3" max="3" width="16.7109375" style="17" customWidth="1"/>
    <col min="4" max="4" width="20" style="17" customWidth="1"/>
    <col min="5" max="5" width="22.7109375" style="17" customWidth="1"/>
    <col min="6" max="6" width="22.28515625" style="17" customWidth="1"/>
    <col min="7" max="7" width="22" customWidth="1"/>
    <col min="8" max="8" width="25.5703125" customWidth="1"/>
  </cols>
  <sheetData>
    <row r="2" spans="2:8" s="3" customFormat="1" ht="28.9" customHeight="1" x14ac:dyDescent="0.25">
      <c r="B2" s="49" t="s">
        <v>26</v>
      </c>
      <c r="C2" s="42">
        <v>0.15890000000000001</v>
      </c>
      <c r="D2" s="38"/>
      <c r="E2" s="39"/>
      <c r="F2" s="39"/>
    </row>
    <row r="3" spans="2:8" ht="28.9" customHeight="1" x14ac:dyDescent="0.25">
      <c r="B3" s="49" t="s">
        <v>39</v>
      </c>
      <c r="C3" s="48">
        <v>250000</v>
      </c>
      <c r="D3" s="39"/>
      <c r="E3" s="39"/>
      <c r="F3" s="39"/>
    </row>
    <row r="4" spans="2:8" s="1" customFormat="1" ht="28.9" customHeight="1" x14ac:dyDescent="0.25">
      <c r="B4" s="50" t="s">
        <v>11</v>
      </c>
      <c r="C4" s="40">
        <v>0</v>
      </c>
      <c r="D4" s="40">
        <v>1</v>
      </c>
      <c r="E4" s="40">
        <v>2</v>
      </c>
      <c r="F4" s="40">
        <v>3</v>
      </c>
      <c r="G4" s="40">
        <v>4</v>
      </c>
      <c r="H4" s="40">
        <v>5</v>
      </c>
    </row>
    <row r="5" spans="2:8" s="2" customFormat="1" ht="28.9" customHeight="1" x14ac:dyDescent="0.25">
      <c r="B5" s="55" t="s">
        <v>0</v>
      </c>
      <c r="C5" s="56">
        <f>-250000</f>
        <v>-250000</v>
      </c>
      <c r="D5" s="41"/>
      <c r="E5" s="41"/>
      <c r="F5" s="41"/>
      <c r="G5" s="41"/>
      <c r="H5" s="41"/>
    </row>
    <row r="6" spans="2:8" s="2" customFormat="1" ht="28.9" customHeight="1" x14ac:dyDescent="0.25">
      <c r="B6" s="55" t="s">
        <v>25</v>
      </c>
      <c r="C6" s="41">
        <v>0</v>
      </c>
      <c r="D6" s="41"/>
      <c r="E6" s="41"/>
      <c r="F6" s="41"/>
      <c r="G6" s="41"/>
      <c r="H6" s="41"/>
    </row>
    <row r="7" spans="2:8" s="2" customFormat="1" ht="28.9" customHeight="1" x14ac:dyDescent="0.25">
      <c r="B7" s="55" t="s">
        <v>5</v>
      </c>
      <c r="C7" s="41"/>
      <c r="D7" s="41"/>
      <c r="E7" s="41"/>
      <c r="F7" s="41"/>
      <c r="G7" s="41"/>
      <c r="H7" s="56">
        <v>150000</v>
      </c>
    </row>
    <row r="8" spans="2:8" s="2" customFormat="1" ht="28.9" customHeight="1" x14ac:dyDescent="0.25">
      <c r="B8" s="55" t="s">
        <v>38</v>
      </c>
      <c r="C8" s="41"/>
      <c r="D8" s="56">
        <f>-$C$3*(1-0.1*(D4-1))*0.04</f>
        <v>-10000</v>
      </c>
      <c r="E8" s="56">
        <f>$C$5*(1-0.1*(E4-1))*0.04</f>
        <v>-9000</v>
      </c>
      <c r="F8" s="56">
        <f t="shared" ref="F8:H8" si="0">$C$5*(1-0.1*(F4-1))*0.04</f>
        <v>-8000</v>
      </c>
      <c r="G8" s="56">
        <f t="shared" si="0"/>
        <v>-7000</v>
      </c>
      <c r="H8" s="56">
        <f t="shared" si="0"/>
        <v>-6000</v>
      </c>
    </row>
    <row r="9" spans="2:8" s="2" customFormat="1" ht="28.9" customHeight="1" x14ac:dyDescent="0.25">
      <c r="B9" s="55" t="s">
        <v>1</v>
      </c>
      <c r="C9" s="41"/>
      <c r="D9" s="56">
        <v>0</v>
      </c>
      <c r="E9" s="56">
        <v>0</v>
      </c>
      <c r="F9" s="56">
        <v>0</v>
      </c>
      <c r="G9" s="56">
        <v>0</v>
      </c>
      <c r="H9" s="56">
        <v>0</v>
      </c>
    </row>
    <row r="10" spans="2:8" s="2" customFormat="1" ht="28.9" customHeight="1" x14ac:dyDescent="0.25">
      <c r="B10" s="55" t="s">
        <v>2</v>
      </c>
      <c r="C10" s="41"/>
      <c r="D10" s="56">
        <f>-5*365</f>
        <v>-1825</v>
      </c>
      <c r="E10" s="56">
        <f t="shared" ref="E10:F17" si="1">D10</f>
        <v>-1825</v>
      </c>
      <c r="F10" s="56">
        <f t="shared" si="1"/>
        <v>-1825</v>
      </c>
      <c r="G10" s="56">
        <f t="shared" ref="G10:G18" si="2">F10</f>
        <v>-1825</v>
      </c>
      <c r="H10" s="56">
        <f t="shared" ref="H10:H18" si="3">G10</f>
        <v>-1825</v>
      </c>
    </row>
    <row r="11" spans="2:8" s="2" customFormat="1" ht="28.9" customHeight="1" x14ac:dyDescent="0.25">
      <c r="B11" s="55" t="s">
        <v>4</v>
      </c>
      <c r="C11" s="41"/>
      <c r="D11" s="56">
        <f>-5000/250*500</f>
        <v>-10000</v>
      </c>
      <c r="E11" s="56">
        <f t="shared" si="1"/>
        <v>-10000</v>
      </c>
      <c r="F11" s="56">
        <f t="shared" si="1"/>
        <v>-10000</v>
      </c>
      <c r="G11" s="56">
        <f t="shared" si="2"/>
        <v>-10000</v>
      </c>
      <c r="H11" s="56">
        <f t="shared" si="3"/>
        <v>-10000</v>
      </c>
    </row>
    <row r="12" spans="2:8" s="2" customFormat="1" ht="28.9" customHeight="1" x14ac:dyDescent="0.25">
      <c r="B12" s="55" t="s">
        <v>8</v>
      </c>
      <c r="C12" s="41"/>
      <c r="D12" s="56">
        <f>-15000</f>
        <v>-15000</v>
      </c>
      <c r="E12" s="56">
        <f t="shared" si="1"/>
        <v>-15000</v>
      </c>
      <c r="F12" s="56">
        <f t="shared" si="1"/>
        <v>-15000</v>
      </c>
      <c r="G12" s="56">
        <f t="shared" si="2"/>
        <v>-15000</v>
      </c>
      <c r="H12" s="56">
        <f t="shared" si="3"/>
        <v>-15000</v>
      </c>
    </row>
    <row r="13" spans="2:8" s="2" customFormat="1" ht="28.9" customHeight="1" x14ac:dyDescent="0.25">
      <c r="B13" s="55" t="s">
        <v>10</v>
      </c>
      <c r="C13" s="41"/>
      <c r="D13" s="56">
        <f>-8000</f>
        <v>-8000</v>
      </c>
      <c r="E13" s="56">
        <f t="shared" si="1"/>
        <v>-8000</v>
      </c>
      <c r="F13" s="56">
        <f t="shared" si="1"/>
        <v>-8000</v>
      </c>
      <c r="G13" s="56">
        <f t="shared" si="2"/>
        <v>-8000</v>
      </c>
      <c r="H13" s="56">
        <f t="shared" si="3"/>
        <v>-8000</v>
      </c>
    </row>
    <row r="14" spans="2:8" s="2" customFormat="1" ht="28.9" customHeight="1" x14ac:dyDescent="0.25">
      <c r="B14" s="55" t="s">
        <v>9</v>
      </c>
      <c r="C14" s="41"/>
      <c r="D14" s="56">
        <v>-30000</v>
      </c>
      <c r="E14" s="56">
        <f t="shared" si="1"/>
        <v>-30000</v>
      </c>
      <c r="F14" s="56">
        <f t="shared" si="1"/>
        <v>-30000</v>
      </c>
      <c r="G14" s="56">
        <f t="shared" si="2"/>
        <v>-30000</v>
      </c>
      <c r="H14" s="56">
        <f t="shared" si="3"/>
        <v>-30000</v>
      </c>
    </row>
    <row r="15" spans="2:8" s="2" customFormat="1" ht="28.9" customHeight="1" x14ac:dyDescent="0.25">
      <c r="B15" s="55" t="s">
        <v>3</v>
      </c>
      <c r="C15" s="41"/>
      <c r="D15" s="56">
        <f>-(4.5*15000/3)*11.5/3.35</f>
        <v>-77238.805970149246</v>
      </c>
      <c r="E15" s="56">
        <f t="shared" si="1"/>
        <v>-77238.805970149246</v>
      </c>
      <c r="F15" s="56">
        <f t="shared" si="1"/>
        <v>-77238.805970149246</v>
      </c>
      <c r="G15" s="56">
        <f t="shared" si="2"/>
        <v>-77238.805970149246</v>
      </c>
      <c r="H15" s="56">
        <f t="shared" si="3"/>
        <v>-77238.805970149246</v>
      </c>
    </row>
    <row r="16" spans="2:8" s="2" customFormat="1" ht="28.9" customHeight="1" x14ac:dyDescent="0.25">
      <c r="B16" s="55" t="s">
        <v>12</v>
      </c>
      <c r="C16" s="41"/>
      <c r="D16" s="56">
        <f>-3600</f>
        <v>-3600</v>
      </c>
      <c r="E16" s="56">
        <f t="shared" si="1"/>
        <v>-3600</v>
      </c>
      <c r="F16" s="56">
        <f t="shared" si="1"/>
        <v>-3600</v>
      </c>
      <c r="G16" s="56">
        <f t="shared" si="2"/>
        <v>-3600</v>
      </c>
      <c r="H16" s="56">
        <f t="shared" si="3"/>
        <v>-3600</v>
      </c>
    </row>
    <row r="17" spans="2:8" s="2" customFormat="1" ht="28.9" customHeight="1" x14ac:dyDescent="0.25">
      <c r="B17" s="55" t="s">
        <v>13</v>
      </c>
      <c r="C17" s="41"/>
      <c r="D17" s="56">
        <f>-('Tiempo mantenimiento'!D22)*720</f>
        <v>-17045.740851829636</v>
      </c>
      <c r="E17" s="56">
        <f t="shared" si="1"/>
        <v>-17045.740851829636</v>
      </c>
      <c r="F17" s="56">
        <f t="shared" si="1"/>
        <v>-17045.740851829636</v>
      </c>
      <c r="G17" s="56">
        <f t="shared" si="2"/>
        <v>-17045.740851829636</v>
      </c>
      <c r="H17" s="56">
        <f t="shared" si="3"/>
        <v>-17045.740851829636</v>
      </c>
    </row>
    <row r="18" spans="2:8" s="2" customFormat="1" ht="28.9" customHeight="1" x14ac:dyDescent="0.25">
      <c r="B18" s="55" t="s">
        <v>6</v>
      </c>
      <c r="C18" s="41"/>
      <c r="D18" s="56">
        <f>-'Tiempo mantenimiento'!D22*'Tiempo mantenimiento'!B14*'Caso Excavadora'!G7*(150-125)</f>
        <v>-4864.6520695860836</v>
      </c>
      <c r="E18" s="56">
        <f>D18</f>
        <v>-4864.6520695860836</v>
      </c>
      <c r="F18" s="56">
        <f>E18</f>
        <v>-4864.6520695860836</v>
      </c>
      <c r="G18" s="56">
        <f t="shared" si="2"/>
        <v>-4864.6520695860836</v>
      </c>
      <c r="H18" s="56">
        <f t="shared" si="3"/>
        <v>-4864.6520695860836</v>
      </c>
    </row>
    <row r="19" spans="2:8" s="2" customFormat="1" ht="28.9" customHeight="1" x14ac:dyDescent="0.25">
      <c r="B19" s="55" t="s">
        <v>7</v>
      </c>
      <c r="C19" s="41">
        <f>SUM(C5:C18)</f>
        <v>-250000</v>
      </c>
      <c r="D19" s="56">
        <f>SUM(D8:D18)</f>
        <v>-177574.19889156497</v>
      </c>
      <c r="E19" s="56">
        <f>SUM(E8:E18)</f>
        <v>-176574.19889156497</v>
      </c>
      <c r="F19" s="56">
        <f>SUM(F8:F18)+F7</f>
        <v>-175574.19889156497</v>
      </c>
      <c r="G19" s="56">
        <f t="shared" ref="G19:H19" si="4">SUM(G8:G18)+G7</f>
        <v>-174574.19889156497</v>
      </c>
      <c r="H19" s="56">
        <f t="shared" si="4"/>
        <v>-23574.198891564971</v>
      </c>
    </row>
    <row r="20" spans="2:8" s="3" customFormat="1" ht="28.9" customHeight="1" x14ac:dyDescent="0.25">
      <c r="B20" s="51" t="s">
        <v>29</v>
      </c>
      <c r="C20" s="44">
        <f>C19+NPV(C2,D19:H19)</f>
        <v>-755562.39898179355</v>
      </c>
      <c r="D20" s="38"/>
      <c r="E20" s="38"/>
      <c r="F20" s="38"/>
      <c r="G20" s="43"/>
      <c r="H20" s="43"/>
    </row>
    <row r="23" spans="2:8" x14ac:dyDescent="0.25">
      <c r="B23" s="55" t="s">
        <v>43</v>
      </c>
      <c r="C23" s="53"/>
      <c r="D23" s="54">
        <f>3000-'Tiempo mantenimiento'!D22*'Tiempo mantenimiento'!B14</f>
        <v>2805.4139172165565</v>
      </c>
      <c r="E23" s="54">
        <f>D23</f>
        <v>2805.4139172165565</v>
      </c>
      <c r="F23" s="54">
        <f t="shared" ref="F23:H23" si="5">E23</f>
        <v>2805.4139172165565</v>
      </c>
      <c r="G23" s="54">
        <f t="shared" si="5"/>
        <v>2805.4139172165565</v>
      </c>
      <c r="H23" s="54">
        <f t="shared" si="5"/>
        <v>2805.4139172165565</v>
      </c>
    </row>
    <row r="24" spans="2:8" x14ac:dyDescent="0.25">
      <c r="B24" s="55" t="s">
        <v>44</v>
      </c>
      <c r="C24" s="53"/>
      <c r="D24" s="54">
        <f>'Tiempo mantenimiento'!D22*'Tiempo mantenimiento'!B14</f>
        <v>194.58608278344335</v>
      </c>
      <c r="E24" s="54">
        <f>D24</f>
        <v>194.58608278344335</v>
      </c>
      <c r="F24" s="54">
        <f t="shared" ref="F24:H24" si="6">E24</f>
        <v>194.58608278344335</v>
      </c>
      <c r="G24" s="54">
        <f t="shared" si="6"/>
        <v>194.58608278344335</v>
      </c>
      <c r="H24" s="54">
        <f t="shared" si="6"/>
        <v>194.58608278344335</v>
      </c>
    </row>
    <row r="25" spans="2:8" x14ac:dyDescent="0.25">
      <c r="B25" s="55" t="s">
        <v>45</v>
      </c>
      <c r="C25" s="53"/>
      <c r="D25" s="54">
        <f>D23*150+D24*125</f>
        <v>445135.3479304139</v>
      </c>
      <c r="E25" s="54">
        <f t="shared" ref="E25:H26" si="7">D25</f>
        <v>445135.3479304139</v>
      </c>
      <c r="F25" s="54">
        <f t="shared" si="7"/>
        <v>445135.3479304139</v>
      </c>
      <c r="G25" s="54">
        <f t="shared" si="7"/>
        <v>445135.3479304139</v>
      </c>
      <c r="H25" s="54">
        <f t="shared" si="7"/>
        <v>445135.3479304139</v>
      </c>
    </row>
    <row r="26" spans="2:8" x14ac:dyDescent="0.25">
      <c r="B26" s="55" t="s">
        <v>46</v>
      </c>
      <c r="C26" s="53"/>
      <c r="D26" s="47">
        <f>D25*'Caso Excavadora'!G7</f>
        <v>445135.3479304139</v>
      </c>
      <c r="E26" s="47">
        <f t="shared" si="7"/>
        <v>445135.3479304139</v>
      </c>
      <c r="F26" s="47">
        <f t="shared" si="7"/>
        <v>445135.3479304139</v>
      </c>
      <c r="G26" s="47">
        <f t="shared" si="7"/>
        <v>445135.3479304139</v>
      </c>
      <c r="H26" s="47">
        <f t="shared" si="7"/>
        <v>445135.3479304139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 Excavadora</vt:lpstr>
      <vt:lpstr>Tiempo mantenimiento</vt:lpstr>
      <vt:lpstr>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López</dc:creator>
  <cp:lastModifiedBy>DOCENTE - DEYVI ANTHONY LOPEZ RIOS</cp:lastModifiedBy>
  <dcterms:created xsi:type="dcterms:W3CDTF">2019-11-28T09:05:11Z</dcterms:created>
  <dcterms:modified xsi:type="dcterms:W3CDTF">2024-04-13T01:31:09Z</dcterms:modified>
</cp:coreProperties>
</file>