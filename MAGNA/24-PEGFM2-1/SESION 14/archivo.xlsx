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Archivos\Deyvi López\Magna\Gestión de flota minera\Módulo Nro. 07\"/>
    </mc:Choice>
  </mc:AlternateContent>
  <xr:revisionPtr revIDLastSave="0" documentId="13_ncr:1_{3E3CB54B-4C77-4FE7-9E93-5541B37B0098}" xr6:coauthVersionLast="47" xr6:coauthVersionMax="47" xr10:uidLastSave="{00000000-0000-0000-0000-000000000000}"/>
  <bookViews>
    <workbookView xWindow="-120" yWindow="-120" windowWidth="29040" windowHeight="15840" xr2:uid="{0C367FC1-B624-40A7-B7F4-81EA18D451A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6" i="1" l="1"/>
  <c r="D33" i="1"/>
  <c r="C33" i="1"/>
  <c r="D30" i="1"/>
  <c r="D28" i="1"/>
  <c r="C28" i="1"/>
  <c r="F21" i="1"/>
  <c r="F15" i="1"/>
  <c r="D27" i="1"/>
  <c r="F7" i="1"/>
  <c r="E8" i="1"/>
  <c r="E7" i="1"/>
  <c r="E20" i="1"/>
  <c r="E17" i="1"/>
  <c r="E15" i="1"/>
  <c r="E14" i="1"/>
  <c r="E13" i="1"/>
  <c r="E6" i="1"/>
  <c r="C26" i="1" s="1"/>
  <c r="E11" i="1"/>
  <c r="C29" i="1"/>
  <c r="C27" i="1" l="1"/>
  <c r="C30" i="1" l="1"/>
</calcChain>
</file>

<file path=xl/sharedStrings.xml><?xml version="1.0" encoding="utf-8"?>
<sst xmlns="http://schemas.openxmlformats.org/spreadsheetml/2006/main" count="54" uniqueCount="48">
  <si>
    <t xml:space="preserve">Item </t>
  </si>
  <si>
    <t>Tiempo total</t>
  </si>
  <si>
    <t xml:space="preserve">Tiempo no programado </t>
  </si>
  <si>
    <t>Mantenimiento programado</t>
  </si>
  <si>
    <t>Mantenimiento no programado</t>
  </si>
  <si>
    <t>Configuración  y ajustes</t>
  </si>
  <si>
    <t>Tiempo muerto</t>
  </si>
  <si>
    <t>Espera del camión</t>
  </si>
  <si>
    <t>Condiciones de trabajo</t>
  </si>
  <si>
    <t>Pérdidas de velocidad</t>
  </si>
  <si>
    <t>Factor de llenado</t>
  </si>
  <si>
    <t>Capacidad del cucharon de la pala</t>
  </si>
  <si>
    <t>Producción ideal</t>
  </si>
  <si>
    <t>El equipo no funcionó debido a lluvia, nieve o niebla.</t>
  </si>
  <si>
    <t>Horas/mes</t>
  </si>
  <si>
    <t>Descripción</t>
  </si>
  <si>
    <t>RENDIMIENTO</t>
  </si>
  <si>
    <t>CALIDAD</t>
  </si>
  <si>
    <t>OEE</t>
  </si>
  <si>
    <t>PRODUCCIÓN MENSUAL (m3/h)</t>
  </si>
  <si>
    <t>días/mes</t>
  </si>
  <si>
    <t>MTTR</t>
  </si>
  <si>
    <t>horas/falla</t>
  </si>
  <si>
    <t>fallas/mes</t>
  </si>
  <si>
    <t>FF * MTTR</t>
  </si>
  <si>
    <t>Frecuencia de fallas (FF)</t>
  </si>
  <si>
    <t>Días calendario</t>
  </si>
  <si>
    <t>dias/mes</t>
  </si>
  <si>
    <t>Horas calendario</t>
  </si>
  <si>
    <t>horas/día</t>
  </si>
  <si>
    <t>Total de horas al mes</t>
  </si>
  <si>
    <t>horas/cambio</t>
  </si>
  <si>
    <t>Número de turnos</t>
  </si>
  <si>
    <t>horas/turno</t>
  </si>
  <si>
    <t>Cambio de ubicación</t>
  </si>
  <si>
    <t>cambios/mes</t>
  </si>
  <si>
    <t>Duración del cambio</t>
  </si>
  <si>
    <t>Tiempo total del cambio</t>
  </si>
  <si>
    <t>m3</t>
  </si>
  <si>
    <t>cucharon/min</t>
  </si>
  <si>
    <t>UTILIZACIÓN</t>
  </si>
  <si>
    <t>turnos/dia</t>
  </si>
  <si>
    <t>DISPONIBILIDAD OPERACIONAL</t>
  </si>
  <si>
    <t>Tiempo de propulsión</t>
  </si>
  <si>
    <t>X</t>
  </si>
  <si>
    <t>Tiempo programado</t>
  </si>
  <si>
    <t>Tiempo neto</t>
  </si>
  <si>
    <t>Tiempo de rendimiento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</si>
</sst>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9.9978637043366805E-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3" fillId="2" borderId="1" xfId="0" applyFont="1" applyFill="1" applyBorder="1"/>
    <xf numFmtId="0" fontId="3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wrapText="1"/>
    </xf>
    <xf numFmtId="9" fontId="2" fillId="0" borderId="1" xfId="0" applyNumberFormat="1" applyFont="1" applyBorder="1" applyAlignment="1">
      <alignment horizontal="center"/>
    </xf>
    <xf numFmtId="164" fontId="2" fillId="0" borderId="1" xfId="1" applyNumberFormat="1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1" fontId="4" fillId="3" borderId="1" xfId="0" applyNumberFormat="1" applyFont="1" applyFill="1" applyBorder="1" applyAlignment="1">
      <alignment horizontal="center"/>
    </xf>
    <xf numFmtId="164" fontId="2" fillId="3" borderId="1" xfId="0" applyNumberFormat="1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D1AE01-0FA5-4A7D-A988-E4D1671F1E54}">
  <dimension ref="B3:G33"/>
  <sheetViews>
    <sheetView showGridLines="0" tabSelected="1" zoomScale="130" zoomScaleNormal="130" workbookViewId="0">
      <selection activeCell="G31" sqref="G31"/>
    </sheetView>
  </sheetViews>
  <sheetFormatPr baseColWidth="10" defaultRowHeight="15.75" x14ac:dyDescent="0.25"/>
  <cols>
    <col min="1" max="1" width="11.42578125" style="1"/>
    <col min="2" max="2" width="39.140625" style="1" customWidth="1"/>
    <col min="3" max="3" width="54.85546875" style="2" customWidth="1"/>
    <col min="4" max="4" width="24.7109375" style="2" customWidth="1"/>
    <col min="5" max="5" width="13.7109375" style="2" customWidth="1"/>
    <col min="6" max="16384" width="11.42578125" style="1"/>
  </cols>
  <sheetData>
    <row r="3" spans="2:7" x14ac:dyDescent="0.25">
      <c r="B3" s="3" t="s">
        <v>0</v>
      </c>
      <c r="C3" s="4" t="s">
        <v>15</v>
      </c>
      <c r="D3" s="4"/>
      <c r="E3" s="4" t="s">
        <v>14</v>
      </c>
    </row>
    <row r="4" spans="2:7" x14ac:dyDescent="0.25">
      <c r="B4" s="3" t="s">
        <v>26</v>
      </c>
      <c r="C4" s="5">
        <v>30</v>
      </c>
      <c r="D4" s="5" t="s">
        <v>27</v>
      </c>
      <c r="E4" s="5"/>
    </row>
    <row r="5" spans="2:7" x14ac:dyDescent="0.25">
      <c r="B5" s="3" t="s">
        <v>28</v>
      </c>
      <c r="C5" s="5">
        <v>24</v>
      </c>
      <c r="D5" s="5" t="s">
        <v>29</v>
      </c>
      <c r="E5" s="5"/>
    </row>
    <row r="6" spans="2:7" x14ac:dyDescent="0.25">
      <c r="B6" s="3" t="s">
        <v>1</v>
      </c>
      <c r="C6" s="5" t="s">
        <v>30</v>
      </c>
      <c r="D6" s="5"/>
      <c r="E6" s="5">
        <f>C4*C5</f>
        <v>720</v>
      </c>
    </row>
    <row r="7" spans="2:7" x14ac:dyDescent="0.25">
      <c r="B7" s="3" t="s">
        <v>2</v>
      </c>
      <c r="C7" s="12">
        <v>2</v>
      </c>
      <c r="D7" s="12" t="s">
        <v>20</v>
      </c>
      <c r="E7" s="12">
        <f>$C$5*C7</f>
        <v>48</v>
      </c>
      <c r="F7" s="2">
        <f>E6-E7</f>
        <v>672</v>
      </c>
      <c r="G7" s="1" t="s">
        <v>45</v>
      </c>
    </row>
    <row r="8" spans="2:7" x14ac:dyDescent="0.25">
      <c r="B8" s="3" t="s">
        <v>3</v>
      </c>
      <c r="C8" s="5">
        <v>3</v>
      </c>
      <c r="D8" s="5" t="s">
        <v>20</v>
      </c>
      <c r="E8" s="5">
        <f>$C$5*C8</f>
        <v>72</v>
      </c>
    </row>
    <row r="9" spans="2:7" x14ac:dyDescent="0.25">
      <c r="B9" s="3" t="s">
        <v>25</v>
      </c>
      <c r="C9" s="5">
        <v>12</v>
      </c>
      <c r="D9" s="5" t="s">
        <v>23</v>
      </c>
      <c r="E9" s="5"/>
    </row>
    <row r="10" spans="2:7" x14ac:dyDescent="0.25">
      <c r="B10" s="3" t="s">
        <v>21</v>
      </c>
      <c r="C10" s="5">
        <v>8</v>
      </c>
      <c r="D10" s="5" t="s">
        <v>22</v>
      </c>
      <c r="E10" s="5"/>
    </row>
    <row r="11" spans="2:7" x14ac:dyDescent="0.25">
      <c r="B11" s="3" t="s">
        <v>4</v>
      </c>
      <c r="C11" s="5" t="s">
        <v>24</v>
      </c>
      <c r="D11" s="5"/>
      <c r="E11" s="5">
        <f>C9*C10</f>
        <v>96</v>
      </c>
    </row>
    <row r="12" spans="2:7" x14ac:dyDescent="0.25">
      <c r="B12" s="3" t="s">
        <v>32</v>
      </c>
      <c r="C12" s="5">
        <v>3</v>
      </c>
      <c r="D12" s="5" t="s">
        <v>41</v>
      </c>
      <c r="E12" s="5"/>
    </row>
    <row r="13" spans="2:7" x14ac:dyDescent="0.25">
      <c r="B13" s="3" t="s">
        <v>5</v>
      </c>
      <c r="C13" s="5">
        <v>0.5</v>
      </c>
      <c r="D13" s="5" t="s">
        <v>33</v>
      </c>
      <c r="E13" s="5">
        <f>C13*$C$12*$C$4</f>
        <v>45</v>
      </c>
    </row>
    <row r="14" spans="2:7" x14ac:dyDescent="0.25">
      <c r="B14" s="3" t="s">
        <v>6</v>
      </c>
      <c r="C14" s="5">
        <v>0.6</v>
      </c>
      <c r="D14" s="5" t="s">
        <v>33</v>
      </c>
      <c r="E14" s="5">
        <f>C14*$C$12*$C$4</f>
        <v>53.999999999999993</v>
      </c>
    </row>
    <row r="15" spans="2:7" x14ac:dyDescent="0.25">
      <c r="B15" s="3" t="s">
        <v>7</v>
      </c>
      <c r="C15" s="5">
        <v>0.5</v>
      </c>
      <c r="D15" s="5" t="s">
        <v>33</v>
      </c>
      <c r="E15" s="5">
        <f>C15*$C$12*$C$4</f>
        <v>45</v>
      </c>
      <c r="F15" s="2">
        <f>F7-E8-E11-E13-E14-E15</f>
        <v>360</v>
      </c>
      <c r="G15" s="1" t="s">
        <v>46</v>
      </c>
    </row>
    <row r="16" spans="2:7" x14ac:dyDescent="0.25">
      <c r="B16" s="3" t="s">
        <v>8</v>
      </c>
      <c r="C16" s="6" t="s">
        <v>13</v>
      </c>
      <c r="D16" s="6"/>
      <c r="E16" s="5">
        <v>25</v>
      </c>
      <c r="F16" s="2" t="s">
        <v>44</v>
      </c>
    </row>
    <row r="17" spans="2:7" x14ac:dyDescent="0.25">
      <c r="B17" s="3" t="s">
        <v>9</v>
      </c>
      <c r="C17" s="5">
        <v>0.5</v>
      </c>
      <c r="D17" s="5" t="s">
        <v>33</v>
      </c>
      <c r="E17" s="5">
        <f>C17*$C$12*$C$4</f>
        <v>45</v>
      </c>
      <c r="F17" s="2" t="s">
        <v>44</v>
      </c>
    </row>
    <row r="18" spans="2:7" x14ac:dyDescent="0.25">
      <c r="B18" s="3" t="s">
        <v>34</v>
      </c>
      <c r="C18" s="5">
        <v>4</v>
      </c>
      <c r="D18" s="5" t="s">
        <v>35</v>
      </c>
      <c r="E18" s="5"/>
      <c r="F18" s="2"/>
    </row>
    <row r="19" spans="2:7" x14ac:dyDescent="0.25">
      <c r="B19" s="3" t="s">
        <v>36</v>
      </c>
      <c r="C19" s="5">
        <v>2</v>
      </c>
      <c r="D19" s="5" t="s">
        <v>31</v>
      </c>
      <c r="E19" s="5"/>
      <c r="F19" s="2"/>
    </row>
    <row r="20" spans="2:7" x14ac:dyDescent="0.25">
      <c r="B20" s="3" t="s">
        <v>43</v>
      </c>
      <c r="C20" s="5" t="s">
        <v>37</v>
      </c>
      <c r="D20" s="5"/>
      <c r="E20" s="5">
        <f>C18*C19</f>
        <v>8</v>
      </c>
      <c r="F20" s="2" t="s">
        <v>44</v>
      </c>
    </row>
    <row r="21" spans="2:7" x14ac:dyDescent="0.25">
      <c r="B21" s="3" t="s">
        <v>10</v>
      </c>
      <c r="C21" s="7">
        <v>0.87</v>
      </c>
      <c r="D21" s="7"/>
      <c r="E21" s="5"/>
      <c r="F21" s="2">
        <f>F15-E16-E17-E20</f>
        <v>282</v>
      </c>
      <c r="G21" s="1" t="s">
        <v>47</v>
      </c>
    </row>
    <row r="22" spans="2:7" x14ac:dyDescent="0.25">
      <c r="B22" s="3" t="s">
        <v>11</v>
      </c>
      <c r="C22" s="5">
        <v>40</v>
      </c>
      <c r="D22" s="5" t="s">
        <v>38</v>
      </c>
      <c r="E22" s="5"/>
    </row>
    <row r="23" spans="2:7" x14ac:dyDescent="0.25">
      <c r="B23" s="3" t="s">
        <v>12</v>
      </c>
      <c r="C23" s="5">
        <v>1.5</v>
      </c>
      <c r="D23" s="5" t="s">
        <v>39</v>
      </c>
      <c r="E23" s="5"/>
    </row>
    <row r="25" spans="2:7" x14ac:dyDescent="0.25">
      <c r="C25" s="2">
        <v>1</v>
      </c>
      <c r="D25" s="2">
        <v>2</v>
      </c>
    </row>
    <row r="26" spans="2:7" x14ac:dyDescent="0.25">
      <c r="B26" s="3" t="s">
        <v>40</v>
      </c>
      <c r="C26" s="8">
        <f>(E6-E7)/E6</f>
        <v>0.93333333333333335</v>
      </c>
      <c r="D26" s="8">
        <f>F7/E6</f>
        <v>0.93333333333333335</v>
      </c>
    </row>
    <row r="27" spans="2:7" x14ac:dyDescent="0.25">
      <c r="B27" s="3" t="s">
        <v>42</v>
      </c>
      <c r="C27" s="8">
        <f>(E6-E7-E8-E11-E13-E14-E15)/E6</f>
        <v>0.5</v>
      </c>
      <c r="D27" s="8">
        <f>(F7-E8-E11-E13-E14-E15)/F7</f>
        <v>0.5357142857142857</v>
      </c>
    </row>
    <row r="28" spans="2:7" x14ac:dyDescent="0.25">
      <c r="B28" s="3" t="s">
        <v>16</v>
      </c>
      <c r="C28" s="8">
        <f>((E6-E7-E8-E11-E13-E14-E15)-E16-E17-E20)/(E6-E7-E8-E11-E13-E14-E15)</f>
        <v>0.78333333333333333</v>
      </c>
      <c r="D28" s="8">
        <f>F21/F15</f>
        <v>0.78333333333333333</v>
      </c>
    </row>
    <row r="29" spans="2:7" x14ac:dyDescent="0.25">
      <c r="B29" s="3" t="s">
        <v>17</v>
      </c>
      <c r="C29" s="9">
        <f>C21</f>
        <v>0.87</v>
      </c>
      <c r="D29" s="9">
        <v>0.87</v>
      </c>
    </row>
    <row r="30" spans="2:7" x14ac:dyDescent="0.25">
      <c r="B30" s="3" t="s">
        <v>18</v>
      </c>
      <c r="C30" s="11">
        <f>C27*C28*C29</f>
        <v>0.34075</v>
      </c>
      <c r="D30" s="11">
        <f>D27*D28*D29</f>
        <v>0.36508928571428573</v>
      </c>
    </row>
    <row r="33" spans="2:4" x14ac:dyDescent="0.25">
      <c r="B33" s="3" t="s">
        <v>19</v>
      </c>
      <c r="C33" s="10">
        <f>$E$6*($C$22*$C$23*60)*C30</f>
        <v>883224</v>
      </c>
      <c r="D33" s="10">
        <f>F7*($C$22*$C$23*60)*D30</f>
        <v>883224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DOCENTE - DEYVI ANTHONY LOPEZ RIOS</dc:creator>
  <cp:lastModifiedBy>DOCENTE - DEYVI ANTHONY LOPEZ RIOS</cp:lastModifiedBy>
  <dcterms:created xsi:type="dcterms:W3CDTF">2024-04-29T23:39:19Z</dcterms:created>
  <dcterms:modified xsi:type="dcterms:W3CDTF">2024-04-30T02:16:23Z</dcterms:modified>
</cp:coreProperties>
</file>