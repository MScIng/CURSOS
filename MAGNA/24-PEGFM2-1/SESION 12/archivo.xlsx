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Archivos\Deyvi López\Magna\Gestión de flota minera\Módulo Nro. 05\"/>
    </mc:Choice>
  </mc:AlternateContent>
  <xr:revisionPtr revIDLastSave="0" documentId="8_{3EB83A5D-4C4F-4C5C-BA48-AEE6B86C94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MEF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5" l="1"/>
  <c r="K4" i="5"/>
  <c r="K5" i="5"/>
  <c r="K6" i="5"/>
  <c r="K7" i="5"/>
  <c r="K3" i="5"/>
  <c r="O4" i="5" l="1"/>
  <c r="O5" i="5"/>
  <c r="O6" i="5"/>
  <c r="O7" i="5"/>
  <c r="G3" i="5" l="1"/>
</calcChain>
</file>

<file path=xl/sharedStrings.xml><?xml version="1.0" encoding="utf-8"?>
<sst xmlns="http://schemas.openxmlformats.org/spreadsheetml/2006/main" count="35" uniqueCount="34">
  <si>
    <t>Item</t>
  </si>
  <si>
    <t>Función</t>
  </si>
  <si>
    <t>Falla Funcional</t>
  </si>
  <si>
    <t xml:space="preserve">Modo de falla </t>
  </si>
  <si>
    <t xml:space="preserve">BOMBA DE PISTONES </t>
  </si>
  <si>
    <t>C. Total</t>
  </si>
  <si>
    <t>Efecto</t>
  </si>
  <si>
    <t>Suministrar caudal entre 54 l/m a 500 RPM y 162 l/m a 1500 RPM para los cilindros de elevacion, basculante y extensiones.</t>
  </si>
  <si>
    <t>Angulo incorrecto del eje cardan</t>
  </si>
  <si>
    <t>Obtruccion de la linea de aspiracion.</t>
  </si>
  <si>
    <t>NPR</t>
  </si>
  <si>
    <t>Ocurrencia</t>
  </si>
  <si>
    <t>Detección</t>
  </si>
  <si>
    <t>Rotura de eje central.</t>
  </si>
  <si>
    <t>Manguera de aspiracion rota</t>
  </si>
  <si>
    <t>Consecuencias Operacional</t>
  </si>
  <si>
    <t>Consecuencias No Operacional</t>
  </si>
  <si>
    <t>Consecuencias al  Ambiente</t>
  </si>
  <si>
    <t xml:space="preserve">Consecuencias a la  Seguridad </t>
  </si>
  <si>
    <t>FALLA TOTAL
Incapaz de suministrar caudal</t>
  </si>
  <si>
    <t>FALLA PARCIAL
Suministra caudal menor a 54 l/m a 500 RPM</t>
  </si>
  <si>
    <t>Reten roto del eje cardan.</t>
  </si>
  <si>
    <r>
      <t xml:space="preserve">Accidentes personales. </t>
    </r>
    <r>
      <rPr>
        <b/>
        <sz val="18"/>
        <color theme="1"/>
        <rFont val="Abadi"/>
        <family val="2"/>
      </rPr>
      <t>Para la  produccion.</t>
    </r>
    <r>
      <rPr>
        <sz val="18"/>
        <color theme="1"/>
        <rFont val="Abadi"/>
        <family val="2"/>
      </rPr>
      <t xml:space="preserve"> Daños materiales.</t>
    </r>
  </si>
  <si>
    <r>
      <rPr>
        <b/>
        <sz val="18"/>
        <color theme="1"/>
        <rFont val="Abadi"/>
        <family val="2"/>
      </rPr>
      <t>Para la produccion</t>
    </r>
    <r>
      <rPr>
        <sz val="18"/>
        <color theme="1"/>
        <rFont val="Abadi"/>
        <family val="2"/>
      </rPr>
      <t>. Contaminacion. Daños materiales.</t>
    </r>
  </si>
  <si>
    <r>
      <t>R</t>
    </r>
    <r>
      <rPr>
        <b/>
        <sz val="18"/>
        <color theme="1"/>
        <rFont val="Abadi"/>
        <family val="2"/>
      </rPr>
      <t>educe la  produccion</t>
    </r>
    <r>
      <rPr>
        <sz val="18"/>
        <color theme="1"/>
        <rFont val="Abadi"/>
        <family val="2"/>
      </rPr>
      <t xml:space="preserve">. Daños materiales. </t>
    </r>
  </si>
  <si>
    <r>
      <t>Re</t>
    </r>
    <r>
      <rPr>
        <b/>
        <sz val="18"/>
        <color theme="1"/>
        <rFont val="Abadi"/>
        <family val="2"/>
      </rPr>
      <t xml:space="preserve">traso de la produccion. </t>
    </r>
    <r>
      <rPr>
        <sz val="18"/>
        <color theme="1"/>
        <rFont val="Abadi"/>
        <family val="2"/>
      </rPr>
      <t>Daños materiales</t>
    </r>
  </si>
  <si>
    <t>1 AL 3</t>
  </si>
  <si>
    <t>4 AL 6</t>
  </si>
  <si>
    <t>7 AL 10</t>
  </si>
  <si>
    <t>COSENCUENCIAS OPERACIONALES</t>
  </si>
  <si>
    <t xml:space="preserve">GRAVES </t>
  </si>
  <si>
    <t>REGUALES</t>
  </si>
  <si>
    <t xml:space="preserve">BAJA </t>
  </si>
  <si>
    <t xml:space="preserve">Consecuencia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</si>
</sst>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Abadi"/>
      <family val="2"/>
    </font>
    <font>
      <sz val="18"/>
      <color theme="1"/>
      <name val="Abadi"/>
      <family val="2"/>
    </font>
    <font>
      <b/>
      <sz val="18"/>
      <name val="Abadi"/>
      <family val="2"/>
    </font>
    <font>
      <b/>
      <sz val="18"/>
      <color theme="1"/>
      <name val="Abad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3" fontId="2" fillId="0" borderId="6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/>
    <xf numFmtId="16" fontId="0" fillId="0" borderId="1" xfId="0" applyNumberFormat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"/>
  <sheetViews>
    <sheetView tabSelected="1" zoomScale="110" zoomScaleNormal="110" workbookViewId="0">
      <selection activeCell="D5" sqref="D5"/>
    </sheetView>
  </sheetViews>
  <sheetFormatPr baseColWidth="10" defaultRowHeight="15" x14ac:dyDescent="0.25"/>
  <cols>
    <col min="1" max="1" width="25.7109375" customWidth="1"/>
    <col min="2" max="2" width="37.85546875" customWidth="1"/>
    <col min="3" max="3" width="56.42578125" customWidth="1"/>
    <col min="4" max="4" width="12" customWidth="1"/>
    <col min="5" max="5" width="55.28515625" customWidth="1"/>
    <col min="6" max="6" width="68.5703125" customWidth="1"/>
    <col min="7" max="8" width="27.5703125" customWidth="1"/>
    <col min="9" max="9" width="31.85546875" customWidth="1"/>
    <col min="10" max="10" width="35.140625" customWidth="1"/>
    <col min="11" max="11" width="15.7109375" customWidth="1"/>
    <col min="12" max="14" width="5.7109375" customWidth="1"/>
    <col min="15" max="15" width="9.85546875" customWidth="1"/>
    <col min="16" max="16" width="25.28515625" style="20" customWidth="1"/>
  </cols>
  <sheetData>
    <row r="1" spans="1:15" ht="77.25" customHeight="1" x14ac:dyDescent="0.25">
      <c r="A1" s="5" t="s">
        <v>0</v>
      </c>
      <c r="B1" s="5" t="s">
        <v>1</v>
      </c>
      <c r="C1" s="5" t="s">
        <v>2</v>
      </c>
      <c r="D1" s="9" t="s">
        <v>3</v>
      </c>
      <c r="E1" s="9"/>
      <c r="F1" s="13" t="s">
        <v>6</v>
      </c>
      <c r="G1" s="8" t="s">
        <v>15</v>
      </c>
      <c r="H1" s="8" t="s">
        <v>16</v>
      </c>
      <c r="I1" s="8" t="s">
        <v>18</v>
      </c>
      <c r="J1" s="11" t="s">
        <v>17</v>
      </c>
      <c r="K1" s="8" t="s">
        <v>5</v>
      </c>
      <c r="L1" s="7" t="s">
        <v>33</v>
      </c>
      <c r="M1" s="7" t="s">
        <v>11</v>
      </c>
      <c r="N1" s="7" t="s">
        <v>12</v>
      </c>
      <c r="O1" s="10" t="s">
        <v>10</v>
      </c>
    </row>
    <row r="2" spans="1:15" ht="58.5" customHeight="1" x14ac:dyDescent="0.25">
      <c r="A2" s="5"/>
      <c r="B2" s="5"/>
      <c r="C2" s="5"/>
      <c r="D2" s="9"/>
      <c r="E2" s="9"/>
      <c r="F2" s="14"/>
      <c r="G2" s="11"/>
      <c r="H2" s="11"/>
      <c r="I2" s="11"/>
      <c r="J2" s="17"/>
      <c r="K2" s="8"/>
      <c r="L2" s="7"/>
      <c r="M2" s="7"/>
      <c r="N2" s="7"/>
      <c r="O2" s="10"/>
    </row>
    <row r="3" spans="1:15" ht="87.75" customHeight="1" x14ac:dyDescent="0.25">
      <c r="A3" s="4" t="s">
        <v>4</v>
      </c>
      <c r="B3" s="6" t="s">
        <v>7</v>
      </c>
      <c r="C3" s="12" t="s">
        <v>19</v>
      </c>
      <c r="D3" s="1">
        <v>1</v>
      </c>
      <c r="E3" s="2" t="s">
        <v>13</v>
      </c>
      <c r="F3" s="15" t="s">
        <v>22</v>
      </c>
      <c r="G3" s="3">
        <f>800*4</f>
        <v>3200</v>
      </c>
      <c r="H3" s="3">
        <v>1800</v>
      </c>
      <c r="I3" s="3">
        <v>32000</v>
      </c>
      <c r="J3" s="3">
        <v>0</v>
      </c>
      <c r="K3" s="16">
        <f>SUM(G3:J3)</f>
        <v>37000</v>
      </c>
      <c r="L3" s="3">
        <v>10</v>
      </c>
      <c r="M3" s="3">
        <v>2</v>
      </c>
      <c r="N3" s="3">
        <v>9</v>
      </c>
      <c r="O3" s="3">
        <f>L3*M3*N3</f>
        <v>180</v>
      </c>
    </row>
    <row r="4" spans="1:15" ht="69" customHeight="1" x14ac:dyDescent="0.25">
      <c r="A4" s="4"/>
      <c r="B4" s="6"/>
      <c r="C4" s="12"/>
      <c r="D4" s="1">
        <v>2</v>
      </c>
      <c r="E4" s="2" t="s">
        <v>9</v>
      </c>
      <c r="F4" s="15" t="s">
        <v>25</v>
      </c>
      <c r="G4" s="3">
        <v>500</v>
      </c>
      <c r="H4" s="3">
        <v>800</v>
      </c>
      <c r="I4" s="3">
        <v>0</v>
      </c>
      <c r="J4" s="3">
        <v>0</v>
      </c>
      <c r="K4" s="16">
        <f t="shared" ref="K4:K7" si="0">SUM(G4:J4)</f>
        <v>1300</v>
      </c>
      <c r="L4" s="3">
        <v>2</v>
      </c>
      <c r="M4" s="3">
        <v>6</v>
      </c>
      <c r="N4" s="3">
        <v>4</v>
      </c>
      <c r="O4" s="3">
        <f t="shared" ref="O4:O7" si="1">L4*M4*N4</f>
        <v>48</v>
      </c>
    </row>
    <row r="5" spans="1:15" ht="95.25" customHeight="1" x14ac:dyDescent="0.25">
      <c r="A5" s="4"/>
      <c r="B5" s="6"/>
      <c r="C5" s="12" t="s">
        <v>20</v>
      </c>
      <c r="D5" s="1">
        <v>3</v>
      </c>
      <c r="E5" s="2" t="s">
        <v>21</v>
      </c>
      <c r="F5" s="15" t="s">
        <v>23</v>
      </c>
      <c r="G5" s="3">
        <v>3200</v>
      </c>
      <c r="H5" s="3">
        <v>800</v>
      </c>
      <c r="I5" s="3">
        <v>500</v>
      </c>
      <c r="J5" s="3">
        <v>0</v>
      </c>
      <c r="K5" s="16">
        <f t="shared" si="0"/>
        <v>4500</v>
      </c>
      <c r="L5" s="3">
        <v>5</v>
      </c>
      <c r="M5" s="3">
        <v>7</v>
      </c>
      <c r="N5" s="3">
        <v>3</v>
      </c>
      <c r="O5" s="3">
        <f t="shared" si="1"/>
        <v>105</v>
      </c>
    </row>
    <row r="6" spans="1:15" ht="76.5" customHeight="1" x14ac:dyDescent="0.25">
      <c r="A6" s="4"/>
      <c r="B6" s="6"/>
      <c r="C6" s="12"/>
      <c r="D6" s="1">
        <v>4</v>
      </c>
      <c r="E6" s="2" t="s">
        <v>14</v>
      </c>
      <c r="F6" s="15" t="s">
        <v>23</v>
      </c>
      <c r="G6" s="3">
        <v>3200</v>
      </c>
      <c r="H6" s="3">
        <v>800</v>
      </c>
      <c r="I6" s="3">
        <v>500</v>
      </c>
      <c r="J6" s="3">
        <v>1000</v>
      </c>
      <c r="K6" s="16">
        <f t="shared" si="0"/>
        <v>5500</v>
      </c>
      <c r="L6" s="3">
        <v>5</v>
      </c>
      <c r="M6" s="3">
        <v>8</v>
      </c>
      <c r="N6" s="3">
        <v>3</v>
      </c>
      <c r="O6" s="3">
        <f t="shared" si="1"/>
        <v>120</v>
      </c>
    </row>
    <row r="7" spans="1:15" ht="78" customHeight="1" x14ac:dyDescent="0.25">
      <c r="A7" s="4"/>
      <c r="B7" s="6"/>
      <c r="C7" s="12"/>
      <c r="D7" s="1">
        <v>5</v>
      </c>
      <c r="E7" s="2" t="s">
        <v>8</v>
      </c>
      <c r="F7" s="15" t="s">
        <v>24</v>
      </c>
      <c r="G7" s="3">
        <v>400</v>
      </c>
      <c r="H7" s="3">
        <v>500</v>
      </c>
      <c r="I7" s="3">
        <v>0</v>
      </c>
      <c r="J7" s="3">
        <v>0</v>
      </c>
      <c r="K7" s="16">
        <f t="shared" si="0"/>
        <v>900</v>
      </c>
      <c r="L7" s="3">
        <v>4</v>
      </c>
      <c r="M7" s="3">
        <v>5</v>
      </c>
      <c r="N7" s="3">
        <v>3</v>
      </c>
      <c r="O7" s="3">
        <f t="shared" si="1"/>
        <v>60</v>
      </c>
    </row>
    <row r="13" spans="1:15" x14ac:dyDescent="0.25">
      <c r="C13" s="18" t="s">
        <v>29</v>
      </c>
      <c r="D13" s="18"/>
    </row>
    <row r="14" spans="1:15" x14ac:dyDescent="0.25">
      <c r="C14" s="18" t="s">
        <v>32</v>
      </c>
      <c r="D14" s="19" t="s">
        <v>26</v>
      </c>
    </row>
    <row r="15" spans="1:15" x14ac:dyDescent="0.25">
      <c r="C15" s="18" t="s">
        <v>31</v>
      </c>
      <c r="D15" s="18" t="s">
        <v>27</v>
      </c>
    </row>
    <row r="16" spans="1:15" x14ac:dyDescent="0.25">
      <c r="C16" s="18" t="s">
        <v>30</v>
      </c>
      <c r="D16" s="18" t="s">
        <v>28</v>
      </c>
    </row>
  </sheetData>
  <mergeCells count="18">
    <mergeCell ref="N1:N2"/>
    <mergeCell ref="O1:O2"/>
    <mergeCell ref="M1:M2"/>
    <mergeCell ref="I1:I2"/>
    <mergeCell ref="J1:J2"/>
    <mergeCell ref="K1:K2"/>
    <mergeCell ref="A3:A7"/>
    <mergeCell ref="A1:A2"/>
    <mergeCell ref="B1:B2"/>
    <mergeCell ref="B3:B7"/>
    <mergeCell ref="L1:L2"/>
    <mergeCell ref="G1:G2"/>
    <mergeCell ref="H1:H2"/>
    <mergeCell ref="C1:C2"/>
    <mergeCell ref="C5:C7"/>
    <mergeCell ref="C3:C4"/>
    <mergeCell ref="F1:F2"/>
    <mergeCell ref="D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dlopez</dc:creator>
  <cp:lastModifiedBy>DOCENTE - DEYVI ANTHONY LOPEZ RIOS</cp:lastModifiedBy>
  <cp:lastPrinted>2017-07-20T22:10:30Z</cp:lastPrinted>
  <dcterms:created xsi:type="dcterms:W3CDTF">2017-06-28T10:31:55Z</dcterms:created>
  <dcterms:modified xsi:type="dcterms:W3CDTF">2024-04-23T02:53:38Z</dcterms:modified>
</cp:coreProperties>
</file>