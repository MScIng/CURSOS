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rchivos\Deyvi López\Magna\Gestión de flota minera\Módulo Nro. 02 - Producción de la flota minera\Materiales\"/>
    </mc:Choice>
  </mc:AlternateContent>
  <xr:revisionPtr revIDLastSave="0" documentId="13_ncr:1_{AB6973A3-1644-4869-9F44-F4BCC324FEDA}" xr6:coauthVersionLast="47" xr6:coauthVersionMax="47" xr10:uidLastSave="{00000000-0000-0000-0000-000000000000}"/>
  <bookViews>
    <workbookView xWindow="-120" yWindow="-120" windowWidth="29040" windowHeight="15840" xr2:uid="{74156F41-9FF1-4F18-9EB6-72F79B0330B7}"/>
  </bookViews>
  <sheets>
    <sheet name="Hoj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8" i="1"/>
  <c r="B19" i="1"/>
  <c r="C19" i="1" s="1"/>
  <c r="C18" i="1"/>
  <c r="C17" i="1"/>
  <c r="C16" i="1"/>
  <c r="B9" i="1"/>
  <c r="D9" i="1" s="1"/>
  <c r="B3" i="1"/>
  <c r="B1" i="1"/>
  <c r="B6" i="1" l="1"/>
  <c r="D11" i="1"/>
  <c r="D12" i="1" s="1"/>
  <c r="D13" i="1" s="1"/>
  <c r="C20" i="1"/>
  <c r="B32" i="1" s="1"/>
  <c r="B23" i="1" l="1"/>
  <c r="B30" i="1" l="1"/>
  <c r="B31" i="1" s="1"/>
  <c r="B25" i="1"/>
  <c r="B33" i="1"/>
  <c r="B34" i="1" s="1"/>
</calcChain>
</file>

<file path=xl/sharedStrings.xml><?xml version="1.0" encoding="utf-8"?>
<sst xmlns="http://schemas.openxmlformats.org/spreadsheetml/2006/main" count="24" uniqueCount="24">
  <si>
    <t xml:space="preserve">Tiempo calendario </t>
  </si>
  <si>
    <t xml:space="preserve">Tiempo utilizable </t>
  </si>
  <si>
    <t>#PM</t>
  </si>
  <si>
    <t>Duración PM</t>
  </si>
  <si>
    <t>Mantto. Planificado</t>
  </si>
  <si>
    <t>Tiempo planificado (Sin DT Operaciones)</t>
  </si>
  <si>
    <t>Dowtime (Operaciones)</t>
  </si>
  <si>
    <t>Refrigerio</t>
  </si>
  <si>
    <t>Abastecimiento de combustible</t>
  </si>
  <si>
    <t>Cambios de guardia</t>
  </si>
  <si>
    <t>Voladura</t>
  </si>
  <si>
    <t>DT Operaciones</t>
  </si>
  <si>
    <t>Tiempo planificado</t>
  </si>
  <si>
    <t>MTBF</t>
  </si>
  <si>
    <t>MTTR</t>
  </si>
  <si>
    <t>Disponibilidad inherente</t>
  </si>
  <si>
    <t xml:space="preserve">Tiempo neto </t>
  </si>
  <si>
    <t>Disponibilidad operacional</t>
  </si>
  <si>
    <t>Downtime (Operaciones)</t>
  </si>
  <si>
    <t>Downtime (Mantenimiento)</t>
  </si>
  <si>
    <t>% Total DT</t>
  </si>
  <si>
    <t>Mantenimiento programado</t>
  </si>
  <si>
    <t>Mantenimiento no programado</t>
  </si>
  <si>
    <t>UTILIZACIÓN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</si>
</sst>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43" fontId="0" fillId="0" borderId="0" xfId="0" applyNumberForma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164" fontId="3" fillId="0" borderId="0" xfId="0" applyNumberFormat="1" applyFont="1"/>
    <xf numFmtId="43" fontId="3" fillId="0" borderId="0" xfId="0" applyNumberFormat="1" applyFont="1"/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43" fontId="3" fillId="0" borderId="0" xfId="1" applyFont="1" applyFill="1"/>
    <xf numFmtId="43" fontId="6" fillId="0" borderId="0" xfId="1" applyFont="1" applyFill="1" applyAlignment="1">
      <alignment horizontal="center" vertical="center"/>
    </xf>
    <xf numFmtId="43" fontId="6" fillId="0" borderId="0" xfId="0" applyNumberFormat="1" applyFont="1" applyAlignment="1">
      <alignment horizontal="center"/>
    </xf>
    <xf numFmtId="165" fontId="3" fillId="0" borderId="0" xfId="0" applyNumberFormat="1" applyFont="1"/>
    <xf numFmtId="9" fontId="3" fillId="0" borderId="0" xfId="2" applyFont="1" applyFill="1"/>
    <xf numFmtId="0" fontId="4" fillId="5" borderId="0" xfId="0" applyFont="1" applyFill="1" applyAlignment="1">
      <alignment wrapText="1"/>
    </xf>
    <xf numFmtId="166" fontId="4" fillId="6" borderId="0" xfId="2" applyNumberFormat="1" applyFont="1" applyFill="1"/>
    <xf numFmtId="0" fontId="4" fillId="6" borderId="0" xfId="0" applyFont="1" applyFill="1" applyAlignment="1">
      <alignment wrapText="1"/>
    </xf>
    <xf numFmtId="166" fontId="4" fillId="0" borderId="0" xfId="2" applyNumberFormat="1" applyFont="1"/>
    <xf numFmtId="166" fontId="4" fillId="0" borderId="0" xfId="0" applyNumberFormat="1" applyFont="1"/>
    <xf numFmtId="9" fontId="3" fillId="0" borderId="0" xfId="2" applyFont="1"/>
    <xf numFmtId="0" fontId="2" fillId="7" borderId="0" xfId="0" applyFon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964F-F8DD-43A0-9DBC-838E8CF61020}">
  <dimension ref="A1:E34"/>
  <sheetViews>
    <sheetView showGridLines="0" tabSelected="1" topLeftCell="A19" zoomScale="170" zoomScaleNormal="170" workbookViewId="0">
      <selection activeCell="E27" sqref="E27"/>
    </sheetView>
  </sheetViews>
  <sheetFormatPr baseColWidth="10" defaultRowHeight="15" x14ac:dyDescent="0.25"/>
  <cols>
    <col min="1" max="1" width="32" customWidth="1"/>
    <col min="2" max="2" width="18" customWidth="1"/>
    <col min="3" max="3" width="17.140625" customWidth="1"/>
    <col min="7" max="7" width="22" customWidth="1"/>
    <col min="8" max="8" width="20.7109375" customWidth="1"/>
  </cols>
  <sheetData>
    <row r="1" spans="1:4" ht="15.75" x14ac:dyDescent="0.25">
      <c r="A1" s="2" t="s">
        <v>0</v>
      </c>
      <c r="B1" s="3">
        <f>365*24</f>
        <v>8760</v>
      </c>
      <c r="C1" s="3"/>
      <c r="D1" s="4"/>
    </row>
    <row r="2" spans="1:4" ht="15.75" x14ac:dyDescent="0.25">
      <c r="A2" s="3"/>
      <c r="B2" s="3"/>
      <c r="C2" s="3"/>
      <c r="D2" s="4"/>
    </row>
    <row r="3" spans="1:4" ht="15.75" x14ac:dyDescent="0.25">
      <c r="A3" s="5" t="s">
        <v>1</v>
      </c>
      <c r="B3" s="3">
        <f>365*24</f>
        <v>8760</v>
      </c>
      <c r="C3" s="4"/>
      <c r="D3" s="3"/>
    </row>
    <row r="4" spans="1:4" ht="15.75" x14ac:dyDescent="0.25">
      <c r="A4" s="26" t="s">
        <v>23</v>
      </c>
      <c r="B4" s="25">
        <f>B3/B1</f>
        <v>1</v>
      </c>
      <c r="C4" s="3"/>
      <c r="D4" s="4"/>
    </row>
    <row r="5" spans="1:4" ht="15.75" x14ac:dyDescent="0.25">
      <c r="A5" s="4"/>
      <c r="B5" s="4"/>
      <c r="C5" s="4"/>
      <c r="D5" s="4"/>
    </row>
    <row r="6" spans="1:4" ht="15.75" x14ac:dyDescent="0.25">
      <c r="A6" s="6" t="s">
        <v>21</v>
      </c>
      <c r="B6" s="7">
        <f>D9</f>
        <v>512</v>
      </c>
      <c r="C6" s="4"/>
      <c r="D6" s="4"/>
    </row>
    <row r="7" spans="1:4" ht="15.75" x14ac:dyDescent="0.25">
      <c r="A7" s="8"/>
      <c r="B7" s="8"/>
      <c r="C7" s="4"/>
      <c r="D7" s="4"/>
    </row>
    <row r="8" spans="1:4" ht="31.5" x14ac:dyDescent="0.25">
      <c r="A8" s="4"/>
      <c r="B8" s="9" t="s">
        <v>2</v>
      </c>
      <c r="C8" s="10" t="s">
        <v>3</v>
      </c>
      <c r="D8" s="10" t="s">
        <v>4</v>
      </c>
    </row>
    <row r="9" spans="1:4" ht="15.75" x14ac:dyDescent="0.25">
      <c r="A9" s="4"/>
      <c r="B9" s="11">
        <f>8000/250</f>
        <v>32</v>
      </c>
      <c r="C9" s="11">
        <v>16</v>
      </c>
      <c r="D9" s="11">
        <f>B9*C9</f>
        <v>512</v>
      </c>
    </row>
    <row r="10" spans="1:4" ht="15.75" x14ac:dyDescent="0.25">
      <c r="A10" s="4"/>
      <c r="B10" s="11"/>
      <c r="C10" s="11"/>
      <c r="D10" s="11">
        <v>8000</v>
      </c>
    </row>
    <row r="11" spans="1:4" ht="15.75" x14ac:dyDescent="0.25">
      <c r="A11" s="4"/>
      <c r="B11" s="11"/>
      <c r="C11" s="11"/>
      <c r="D11" s="11">
        <f>SUM(D10,D9)</f>
        <v>8512</v>
      </c>
    </row>
    <row r="12" spans="1:4" ht="15.75" x14ac:dyDescent="0.25">
      <c r="A12" s="4"/>
      <c r="B12" s="11"/>
      <c r="C12" s="11"/>
      <c r="D12" s="11">
        <f>B3-D11</f>
        <v>248</v>
      </c>
    </row>
    <row r="13" spans="1:4" ht="53.25" customHeight="1" x14ac:dyDescent="0.25">
      <c r="A13" s="4"/>
      <c r="B13" s="4"/>
      <c r="C13" s="12" t="s">
        <v>5</v>
      </c>
      <c r="D13" s="13">
        <f>D10+D12</f>
        <v>8248</v>
      </c>
    </row>
    <row r="14" spans="1:4" ht="15.75" x14ac:dyDescent="0.25">
      <c r="A14" s="4"/>
      <c r="B14" s="4"/>
      <c r="C14" s="3"/>
      <c r="D14" s="4"/>
    </row>
    <row r="15" spans="1:4" ht="15.75" x14ac:dyDescent="0.25">
      <c r="A15" s="6" t="s">
        <v>6</v>
      </c>
      <c r="B15" s="3"/>
      <c r="C15" s="3"/>
      <c r="D15" s="4"/>
    </row>
    <row r="16" spans="1:4" ht="15.75" x14ac:dyDescent="0.25">
      <c r="A16" s="14" t="s">
        <v>7</v>
      </c>
      <c r="B16" s="15">
        <v>1</v>
      </c>
      <c r="C16" s="8">
        <f>B16*365</f>
        <v>365</v>
      </c>
      <c r="D16" s="4"/>
    </row>
    <row r="17" spans="1:5" ht="31.5" x14ac:dyDescent="0.25">
      <c r="A17" s="14" t="s">
        <v>8</v>
      </c>
      <c r="B17" s="15">
        <v>2</v>
      </c>
      <c r="C17" s="8">
        <f>B17*365</f>
        <v>730</v>
      </c>
      <c r="D17" s="4"/>
    </row>
    <row r="18" spans="1:5" ht="15.75" x14ac:dyDescent="0.25">
      <c r="A18" s="14" t="s">
        <v>9</v>
      </c>
      <c r="B18" s="15">
        <v>0.75</v>
      </c>
      <c r="C18" s="8">
        <f>B18*365</f>
        <v>273.75</v>
      </c>
      <c r="D18" s="4"/>
      <c r="E18" s="1"/>
    </row>
    <row r="19" spans="1:5" ht="15.75" x14ac:dyDescent="0.25">
      <c r="A19" s="14" t="s">
        <v>10</v>
      </c>
      <c r="B19" s="15">
        <f>6*2/7</f>
        <v>1.7142857142857142</v>
      </c>
      <c r="C19" s="8">
        <f>B19*365</f>
        <v>625.71428571428567</v>
      </c>
      <c r="D19" s="4"/>
    </row>
    <row r="20" spans="1:5" ht="15.75" x14ac:dyDescent="0.25">
      <c r="A20" s="14"/>
      <c r="B20" s="16" t="s">
        <v>11</v>
      </c>
      <c r="C20" s="17">
        <f>SUM(C16:C19)</f>
        <v>1994.4642857142858</v>
      </c>
      <c r="D20" s="4"/>
    </row>
    <row r="21" spans="1:5" ht="15.75" x14ac:dyDescent="0.25">
      <c r="A21" s="14"/>
      <c r="B21" s="15"/>
      <c r="C21" s="8"/>
      <c r="D21" s="4"/>
    </row>
    <row r="22" spans="1:5" ht="15.75" x14ac:dyDescent="0.25">
      <c r="A22" s="14"/>
      <c r="B22" s="15"/>
      <c r="C22" s="8"/>
      <c r="D22" s="4"/>
    </row>
    <row r="23" spans="1:5" ht="15.75" x14ac:dyDescent="0.25">
      <c r="A23" s="5" t="s">
        <v>12</v>
      </c>
      <c r="B23" s="7">
        <f>B3-B6-C20</f>
        <v>6253.5357142857138</v>
      </c>
      <c r="C23" s="3"/>
      <c r="D23" s="4"/>
    </row>
    <row r="24" spans="1:5" ht="15.75" x14ac:dyDescent="0.25">
      <c r="A24" s="8"/>
      <c r="B24" s="8"/>
      <c r="C24" s="3"/>
      <c r="D24" s="4"/>
    </row>
    <row r="25" spans="1:5" ht="15.75" customHeight="1" x14ac:dyDescent="0.25">
      <c r="A25" s="6" t="s">
        <v>22</v>
      </c>
      <c r="B25" s="18">
        <f>B23*(1-B28)</f>
        <v>313.58134729301543</v>
      </c>
      <c r="C25" s="3"/>
      <c r="D25" s="4"/>
    </row>
    <row r="26" spans="1:5" ht="15.75" x14ac:dyDescent="0.25">
      <c r="A26" s="14" t="s">
        <v>13</v>
      </c>
      <c r="B26" s="3">
        <v>985</v>
      </c>
      <c r="C26" s="4"/>
      <c r="D26" s="4"/>
    </row>
    <row r="27" spans="1:5" ht="15.75" x14ac:dyDescent="0.25">
      <c r="A27" s="14" t="s">
        <v>14</v>
      </c>
      <c r="B27" s="3">
        <v>52</v>
      </c>
      <c r="C27" s="4"/>
      <c r="D27" s="4"/>
    </row>
    <row r="28" spans="1:5" ht="15.75" x14ac:dyDescent="0.25">
      <c r="A28" s="14" t="s">
        <v>15</v>
      </c>
      <c r="B28" s="19">
        <f>B26/(B26+B27)</f>
        <v>0.94985535197685633</v>
      </c>
      <c r="C28" s="4"/>
      <c r="D28" s="4"/>
    </row>
    <row r="29" spans="1:5" ht="15.75" x14ac:dyDescent="0.25">
      <c r="A29" s="3"/>
      <c r="B29" s="3"/>
      <c r="C29" s="4"/>
      <c r="D29" s="4"/>
    </row>
    <row r="30" spans="1:5" ht="15.75" x14ac:dyDescent="0.25">
      <c r="A30" s="5" t="s">
        <v>16</v>
      </c>
      <c r="B30" s="7">
        <f>B23*B28</f>
        <v>5939.9543669926979</v>
      </c>
      <c r="C30" s="4"/>
      <c r="D30" s="4"/>
    </row>
    <row r="31" spans="1:5" ht="15.75" x14ac:dyDescent="0.25">
      <c r="A31" s="20" t="s">
        <v>17</v>
      </c>
      <c r="B31" s="21">
        <f>B30/B3</f>
        <v>0.67807698253341298</v>
      </c>
      <c r="C31" s="4"/>
      <c r="D31" s="4"/>
    </row>
    <row r="32" spans="1:5" ht="15.75" x14ac:dyDescent="0.25">
      <c r="A32" s="22" t="s">
        <v>18</v>
      </c>
      <c r="B32" s="21">
        <f>C20/B3</f>
        <v>0.22767857142857142</v>
      </c>
      <c r="C32" s="4"/>
      <c r="D32" s="4"/>
    </row>
    <row r="33" spans="1:4" ht="15.75" x14ac:dyDescent="0.25">
      <c r="A33" s="22" t="s">
        <v>19</v>
      </c>
      <c r="B33" s="21">
        <f>SUM(B6+B23*(1-B28))/B3</f>
        <v>9.4244446038015448E-2</v>
      </c>
      <c r="C33" s="23"/>
      <c r="D33" s="4"/>
    </row>
    <row r="34" spans="1:4" ht="15.75" x14ac:dyDescent="0.25">
      <c r="A34" s="20" t="s">
        <v>20</v>
      </c>
      <c r="B34" s="24">
        <f>SUM(B32:B33)</f>
        <v>0.32192301746658686</v>
      </c>
      <c r="C34" s="4"/>
      <c r="D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DEYVI ANTHONY LOPEZ RIOS</dc:creator>
  <cp:lastModifiedBy>DOCENTE - DEYVI ANTHONY LOPEZ RIOS</cp:lastModifiedBy>
  <dcterms:created xsi:type="dcterms:W3CDTF">2024-03-25T22:41:17Z</dcterms:created>
  <dcterms:modified xsi:type="dcterms:W3CDTF">2024-04-02T00:46:41Z</dcterms:modified>
</cp:coreProperties>
</file>