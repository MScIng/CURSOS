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3\"/>
    </mc:Choice>
  </mc:AlternateContent>
  <xr:revisionPtr revIDLastSave="0" documentId="13_ncr:1_{C5B42AC1-C0BC-4878-8765-B92468D3FF2E}" xr6:coauthVersionLast="47" xr6:coauthVersionMax="47" xr10:uidLastSave="{00000000-0000-0000-0000-000000000000}"/>
  <bookViews>
    <workbookView xWindow="-120" yWindow="-120" windowWidth="29040" windowHeight="15840" xr2:uid="{7DE302AD-F2B3-4962-A212-26C0C11C0FE3}"/>
  </bookViews>
  <sheets>
    <sheet name="Hoja1" sheetId="1" r:id="rId1"/>
  </sheets>
  <definedNames>
    <definedName name="_xlchart.v1.0" hidden="1">Hoja1!$B$34:$B$43</definedName>
    <definedName name="_xlchart.v1.1" hidden="1">Hoja1!$C$34:$C$43</definedName>
    <definedName name="_xlchart.v1.2" hidden="1">Hoja1!$E$34:$E$43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3" i="1"/>
  <c r="C9" i="1"/>
  <c r="I17" i="1"/>
  <c r="J10" i="1"/>
  <c r="J14" i="1"/>
  <c r="K16" i="1"/>
  <c r="I5" i="1"/>
  <c r="J6" i="1"/>
  <c r="K8" i="1"/>
  <c r="L12" i="1"/>
  <c r="I7" i="1"/>
  <c r="I9" i="1" s="1"/>
  <c r="I11" i="1" s="1"/>
  <c r="I13" i="1" s="1"/>
  <c r="I15" i="1" s="1"/>
  <c r="E35" i="1"/>
  <c r="E37" i="1"/>
  <c r="E42" i="1"/>
  <c r="E43" i="1"/>
  <c r="C34" i="1" l="1"/>
  <c r="C43" i="1"/>
  <c r="C42" i="1"/>
  <c r="B43" i="1"/>
  <c r="B42" i="1"/>
  <c r="B41" i="1"/>
  <c r="B40" i="1"/>
  <c r="B39" i="1"/>
  <c r="B37" i="1"/>
  <c r="C22" i="1"/>
  <c r="E34" i="1" l="1"/>
  <c r="C10" i="1"/>
  <c r="C37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B36" i="1"/>
  <c r="C36" i="1"/>
  <c r="E36" i="1" s="1"/>
  <c r="C8" i="1"/>
  <c r="C35" i="1" s="1"/>
  <c r="B38" i="1"/>
  <c r="B35" i="1"/>
  <c r="C2" i="1"/>
  <c r="C41" i="1" l="1"/>
  <c r="E41" i="1" s="1"/>
  <c r="C38" i="1"/>
  <c r="E38" i="1" s="1"/>
  <c r="C4" i="1"/>
  <c r="C39" i="1"/>
  <c r="E39" i="1" s="1"/>
  <c r="C15" i="1" l="1"/>
  <c r="C17" i="1" s="1"/>
  <c r="C24" i="1" s="1"/>
  <c r="C28" i="1" s="1"/>
  <c r="C30" i="1" s="1"/>
  <c r="C40" i="1"/>
  <c r="E40" i="1" s="1"/>
  <c r="E44" i="1" s="1"/>
  <c r="C5" i="1"/>
  <c r="C44" i="1" l="1"/>
  <c r="C25" i="1"/>
</calcChain>
</file>

<file path=xl/sharedStrings.xml><?xml version="1.0" encoding="utf-8"?>
<sst xmlns="http://schemas.openxmlformats.org/spreadsheetml/2006/main" count="65" uniqueCount="37">
  <si>
    <t>STAND BY</t>
  </si>
  <si>
    <t>horas</t>
  </si>
  <si>
    <t>TIEMPO UTILIZABLE</t>
  </si>
  <si>
    <t>UTILIZACIÓN</t>
  </si>
  <si>
    <t>PARADAS PROGRAMADAS</t>
  </si>
  <si>
    <t>Refrigerio</t>
  </si>
  <si>
    <t>Abastecimiento de combustible</t>
  </si>
  <si>
    <t>SUBTOTAL</t>
  </si>
  <si>
    <t>TIEMPO PROGRAMADO</t>
  </si>
  <si>
    <t>PARADAS NO PROGRAMADAS</t>
  </si>
  <si>
    <t>Mantenimiento no programado</t>
  </si>
  <si>
    <t>TIEMPO NETO</t>
  </si>
  <si>
    <t>DISPONIBILIDAD OPERACIONAL</t>
  </si>
  <si>
    <t>DOWNTIMES</t>
  </si>
  <si>
    <t>TOTAL</t>
  </si>
  <si>
    <t>TIEMPO CALENDARIO</t>
  </si>
  <si>
    <t>El horario de trabajo de los camiones es de lunes de sábado de 7am  a 7pm</t>
  </si>
  <si>
    <t>El horario de refrigerio para todos los camiones es de 12pm a 1pm</t>
  </si>
  <si>
    <t>Los abastecimientos de combustible se realizan una vez al día y dura 1 hora</t>
  </si>
  <si>
    <t>Inspección del camión</t>
  </si>
  <si>
    <t>Todos los días. 15 minutos.</t>
  </si>
  <si>
    <t>PM 250</t>
  </si>
  <si>
    <t>PM 500</t>
  </si>
  <si>
    <t>PM 1000</t>
  </si>
  <si>
    <t>PM 2000</t>
  </si>
  <si>
    <t xml:space="preserve">PM 500 </t>
  </si>
  <si>
    <t>PM 200</t>
  </si>
  <si>
    <t>Horas</t>
  </si>
  <si>
    <t>Eventos fortuitos</t>
  </si>
  <si>
    <t xml:space="preserve">PRODUCCIÓN </t>
  </si>
  <si>
    <t>TARIFA DE SERVICIO</t>
  </si>
  <si>
    <t>USD/m3</t>
  </si>
  <si>
    <t>m3/h</t>
  </si>
  <si>
    <t>FACTURACIÓN ANUAL</t>
  </si>
  <si>
    <t>USD/camión</t>
  </si>
  <si>
    <t>camiones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</si>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</sst>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2" borderId="1" xfId="0" applyFont="1" applyFill="1" applyBorder="1"/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/>
    <xf numFmtId="0" fontId="5" fillId="0" borderId="1" xfId="0" applyFont="1" applyBorder="1"/>
    <xf numFmtId="0" fontId="6" fillId="5" borderId="1" xfId="0" applyFont="1" applyFill="1" applyBorder="1"/>
    <xf numFmtId="9" fontId="5" fillId="0" borderId="1" xfId="1" applyFont="1" applyBorder="1"/>
    <xf numFmtId="0" fontId="5" fillId="0" borderId="0" xfId="0" applyFont="1"/>
    <xf numFmtId="164" fontId="5" fillId="0" borderId="0" xfId="0" applyNumberFormat="1" applyFont="1"/>
    <xf numFmtId="165" fontId="5" fillId="0" borderId="0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5" fillId="0" borderId="1" xfId="0" applyNumberFormat="1" applyFont="1" applyBorder="1"/>
    <xf numFmtId="0" fontId="4" fillId="8" borderId="1" xfId="0" applyFont="1" applyFill="1" applyBorder="1"/>
    <xf numFmtId="0" fontId="0" fillId="0" borderId="0" xfId="0" applyAlignment="1">
      <alignment horizontal="center"/>
    </xf>
    <xf numFmtId="0" fontId="4" fillId="9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0" fontId="6" fillId="10" borderId="1" xfId="0" applyFont="1" applyFill="1" applyBorder="1"/>
    <xf numFmtId="164" fontId="6" fillId="10" borderId="1" xfId="0" applyNumberFormat="1" applyFont="1" applyFill="1" applyBorder="1" applyAlignment="1">
      <alignment vertical="center"/>
    </xf>
    <xf numFmtId="0" fontId="6" fillId="10" borderId="3" xfId="0" applyFont="1" applyFill="1" applyBorder="1" applyAlignment="1">
      <alignment horizontal="center"/>
    </xf>
    <xf numFmtId="165" fontId="6" fillId="10" borderId="1" xfId="1" applyNumberFormat="1" applyFont="1" applyFill="1" applyBorder="1" applyAlignment="1">
      <alignment horizontal="center" vertical="center"/>
    </xf>
    <xf numFmtId="0" fontId="7" fillId="0" borderId="0" xfId="0" applyFont="1"/>
    <xf numFmtId="164" fontId="5" fillId="3" borderId="5" xfId="0" applyNumberFormat="1" applyFont="1" applyFill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4" fillId="6" borderId="6" xfId="0" applyFont="1" applyFill="1" applyBorder="1"/>
    <xf numFmtId="0" fontId="6" fillId="7" borderId="2" xfId="0" applyFont="1" applyFill="1" applyBorder="1"/>
    <xf numFmtId="0" fontId="5" fillId="0" borderId="1" xfId="0" applyFont="1" applyBorder="1" applyAlignment="1">
      <alignment vertical="center"/>
    </xf>
    <xf numFmtId="0" fontId="2" fillId="11" borderId="4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5" borderId="3" xfId="0" applyFont="1" applyFill="1" applyBorder="1"/>
    <xf numFmtId="0" fontId="5" fillId="0" borderId="3" xfId="0" applyFont="1" applyBorder="1"/>
    <xf numFmtId="1" fontId="5" fillId="0" borderId="7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165" fontId="6" fillId="5" borderId="3" xfId="1" applyNumberFormat="1" applyFont="1" applyFill="1" applyBorder="1"/>
    <xf numFmtId="164" fontId="6" fillId="5" borderId="1" xfId="0" applyNumberFormat="1" applyFont="1" applyFill="1" applyBorder="1" applyAlignment="1">
      <alignment horizontal="center" vertical="center"/>
    </xf>
    <xf numFmtId="0" fontId="5" fillId="0" borderId="7" xfId="0" applyFont="1" applyBorder="1"/>
    <xf numFmtId="164" fontId="5" fillId="0" borderId="6" xfId="0" applyNumberFormat="1" applyFont="1" applyBorder="1" applyAlignment="1">
      <alignment horizontal="center" vertical="center"/>
    </xf>
    <xf numFmtId="3" fontId="6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DOWNTIMES</cx:v>
        </cx:txData>
      </cx:tx>
      <cx:spPr>
        <a:solidFill>
          <a:srgbClr val="FF000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</a:defRPr>
          </a:pPr>
          <a:r>
            <a:rPr lang="es-ES" sz="1400" b="1" i="0" u="none" strike="noStrike" baseline="0">
              <a:solidFill>
                <a:schemeClr val="bg1"/>
              </a:solidFill>
              <a:latin typeface="Aptos Narrow" panose="02110004020202020204"/>
            </a:rPr>
            <a:t>DOWNTIMES</a:t>
          </a:r>
        </a:p>
      </cx:txPr>
    </cx:title>
    <cx:plotArea>
      <cx:plotAreaRegion>
        <cx:series layoutId="clusteredColumn" uniqueId="{1F2A675E-DFDF-4816-88C7-4F362D78143E}" formatIdx="0">
          <cx:dataId val="0"/>
          <cx:layoutPr>
            <cx:aggregation/>
          </cx:layoutPr>
          <cx:axisId val="1"/>
        </cx:series>
        <cx:series layoutId="paretoLine" ownerIdx="0" uniqueId="{A26AA30E-AF2B-4EAF-99DC-440FDD68B105}" formatIdx="1">
          <cx:axisId val="2"/>
        </cx:series>
        <cx:series layoutId="clusteredColumn" hidden="1" uniqueId="{0CB32AE2-0C43-45C0-80B6-F4EE2753A7AE}" formatIdx="2">
          <cx:dataId val="1"/>
          <cx:layoutPr>
            <cx:aggregation/>
          </cx:layoutPr>
          <cx:axisId val="1"/>
        </cx:series>
        <cx:series layoutId="paretoLine" ownerIdx="2" uniqueId="{3AC6A507-A850-4CCC-97E1-7650B258B61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1266824</xdr:colOff>
      <xdr:row>25</xdr:row>
      <xdr:rowOff>52387</xdr:rowOff>
    </xdr:from>
    <xdr:to>
      <xdr:col>11</xdr:col>
      <xdr:colOff>314325</xdr:colOff>
      <xdr:row>55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A654B9D-F687-C2EB-0B56-8EFDE05F2A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9918" y="5219700"/>
              <a:ext cx="7917657" cy="58650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104775</xdr:rowOff>
    </xdr:to>
    <xdr:sp macro="" textlink="">
      <xdr:nvSpPr>
        <xdr:cNvPr id="1025" name="AutoShape 1" descr="Encuentra tu camión tolva aquí">
          <a:extLst>
            <a:ext uri="{FF2B5EF4-FFF2-40B4-BE49-F238E27FC236}">
              <a16:creationId xmlns:a16="http://schemas.microsoft.com/office/drawing/2014/main" id="{D4FCB17C-C27A-285E-A3D7-BB7C1A4169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4DEFE03-4C4B-159D-DA11-A086571A1F12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304800</xdr:colOff>
      <xdr:row>45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614D848-286C-D371-EB0F-E2BDCE496F8C}"/>
            </a:ext>
          </a:extLst>
        </xdr:cNvPr>
        <xdr:cNvSpPr>
          <a:spLocks noChangeAspect="1" noChangeArrowheads="1"/>
        </xdr:cNvSpPr>
      </xdr:nvSpPr>
      <xdr:spPr bwMode="auto">
        <a:xfrm>
          <a:off x="18383250" y="88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304800</xdr:colOff>
      <xdr:row>62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FF97176-AF9D-3632-BF0F-FFC90DB559C9}"/>
            </a:ext>
          </a:extLst>
        </xdr:cNvPr>
        <xdr:cNvSpPr>
          <a:spLocks noChangeAspect="1" noChangeArrowheads="1"/>
        </xdr:cNvSpPr>
      </xdr:nvSpPr>
      <xdr:spPr bwMode="auto">
        <a:xfrm>
          <a:off x="17621250" y="121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987E66F-5883-CEA8-E7FE-755BCFBF3420}"/>
            </a:ext>
          </a:extLst>
        </xdr:cNvPr>
        <xdr:cNvSpPr>
          <a:spLocks noChangeAspect="1" noChangeArrowheads="1"/>
        </xdr:cNvSpPr>
      </xdr:nvSpPr>
      <xdr:spPr bwMode="auto">
        <a:xfrm>
          <a:off x="17621250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297657</xdr:colOff>
      <xdr:row>28</xdr:row>
      <xdr:rowOff>157477</xdr:rowOff>
    </xdr:from>
    <xdr:to>
      <xdr:col>10</xdr:col>
      <xdr:colOff>285751</xdr:colOff>
      <xdr:row>36</xdr:row>
      <xdr:rowOff>101575</xdr:rowOff>
    </xdr:to>
    <xdr:pic>
      <xdr:nvPicPr>
        <xdr:cNvPr id="3" name="Imagen 2" descr="4146 Tolva - Foton">
          <a:extLst>
            <a:ext uri="{FF2B5EF4-FFF2-40B4-BE49-F238E27FC236}">
              <a16:creationId xmlns:a16="http://schemas.microsoft.com/office/drawing/2014/main" id="{7FB879C0-932D-467D-2900-8FA9D5FD59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78" b="17858"/>
        <a:stretch/>
      </xdr:blipFill>
      <xdr:spPr bwMode="auto">
        <a:xfrm>
          <a:off x="11822907" y="5932008"/>
          <a:ext cx="2274094" cy="153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4B2-A70B-433F-9D07-DF54F9CA9AE2}">
  <dimension ref="B2:L44"/>
  <sheetViews>
    <sheetView showGridLines="0" tabSelected="1" topLeftCell="A12" zoomScale="80" zoomScaleNormal="80" workbookViewId="0">
      <selection activeCell="R35" sqref="R35"/>
    </sheetView>
  </sheetViews>
  <sheetFormatPr baseColWidth="10" defaultRowHeight="15" x14ac:dyDescent="0.25"/>
  <cols>
    <col min="2" max="2" width="31.42578125" customWidth="1"/>
    <col min="3" max="3" width="17.140625" customWidth="1"/>
    <col min="4" max="4" width="14.140625" customWidth="1"/>
    <col min="6" max="6" width="75.85546875" customWidth="1"/>
  </cols>
  <sheetData>
    <row r="2" spans="2:12" ht="15.75" x14ac:dyDescent="0.25">
      <c r="B2" s="5" t="s">
        <v>15</v>
      </c>
      <c r="C2" s="6">
        <f>365*24</f>
        <v>8760</v>
      </c>
      <c r="D2" s="3" t="s">
        <v>1</v>
      </c>
      <c r="E2" s="4"/>
    </row>
    <row r="3" spans="2:12" ht="15.75" x14ac:dyDescent="0.25">
      <c r="B3" s="1" t="s">
        <v>0</v>
      </c>
      <c r="C3" s="2">
        <f>365*12+52*24</f>
        <v>5628</v>
      </c>
      <c r="D3" s="3" t="s">
        <v>1</v>
      </c>
      <c r="E3" s="4"/>
      <c r="F3" s="29" t="s">
        <v>16</v>
      </c>
    </row>
    <row r="4" spans="2:12" ht="15.75" x14ac:dyDescent="0.25">
      <c r="B4" s="5" t="s">
        <v>2</v>
      </c>
      <c r="C4" s="6">
        <f>C2-C3</f>
        <v>3132</v>
      </c>
      <c r="D4" s="3" t="s">
        <v>1</v>
      </c>
      <c r="E4" s="4"/>
      <c r="H4" s="35" t="s">
        <v>27</v>
      </c>
      <c r="I4" s="35" t="s">
        <v>21</v>
      </c>
      <c r="J4" s="35" t="s">
        <v>25</v>
      </c>
      <c r="K4" s="35" t="s">
        <v>23</v>
      </c>
      <c r="L4" s="35" t="s">
        <v>26</v>
      </c>
    </row>
    <row r="5" spans="2:12" ht="15.75" x14ac:dyDescent="0.25">
      <c r="B5" s="7" t="s">
        <v>3</v>
      </c>
      <c r="C5" s="8">
        <f>C4/C2</f>
        <v>0.35753424657534244</v>
      </c>
      <c r="D5" s="3"/>
      <c r="E5" s="4"/>
      <c r="H5" s="35">
        <v>250</v>
      </c>
      <c r="I5" s="36">
        <f>(4+45/60)*1.15+1+45/60</f>
        <v>7.2124999999999995</v>
      </c>
      <c r="J5" s="37"/>
      <c r="K5" s="38"/>
      <c r="L5" s="38"/>
    </row>
    <row r="6" spans="2:12" ht="15.75" x14ac:dyDescent="0.25">
      <c r="B6" s="9"/>
      <c r="C6" s="9"/>
      <c r="D6" s="4"/>
      <c r="E6" s="4"/>
      <c r="H6" s="35">
        <f>H5+250</f>
        <v>500</v>
      </c>
      <c r="I6" s="38"/>
      <c r="J6" s="36">
        <f>(6+45/60)*1.15+1+45/60</f>
        <v>9.5124999999999993</v>
      </c>
      <c r="K6" s="38"/>
      <c r="L6" s="38"/>
    </row>
    <row r="7" spans="2:12" ht="15.75" x14ac:dyDescent="0.25">
      <c r="B7" s="32" t="s">
        <v>4</v>
      </c>
      <c r="C7" s="10"/>
      <c r="D7" s="4"/>
      <c r="E7" s="4"/>
      <c r="H7" s="35">
        <f t="shared" ref="H7:H13" si="0">H6+250</f>
        <v>750</v>
      </c>
      <c r="I7" s="36">
        <f>I5</f>
        <v>7.2124999999999995</v>
      </c>
      <c r="J7" s="38"/>
      <c r="K7" s="38"/>
      <c r="L7" s="38"/>
    </row>
    <row r="8" spans="2:12" ht="15.75" x14ac:dyDescent="0.25">
      <c r="B8" s="34" t="s">
        <v>5</v>
      </c>
      <c r="C8" s="30">
        <f>1*365</f>
        <v>365</v>
      </c>
      <c r="D8" s="3" t="s">
        <v>1</v>
      </c>
      <c r="E8" s="11"/>
      <c r="F8" s="29" t="s">
        <v>17</v>
      </c>
      <c r="H8" s="35">
        <f t="shared" si="0"/>
        <v>1000</v>
      </c>
      <c r="I8" s="38"/>
      <c r="J8" s="38"/>
      <c r="K8" s="36">
        <f>(10+45/60)*1.15+1+45/60</f>
        <v>14.112499999999999</v>
      </c>
      <c r="L8" s="38"/>
    </row>
    <row r="9" spans="2:12" ht="15.75" x14ac:dyDescent="0.25">
      <c r="B9" s="34" t="s">
        <v>6</v>
      </c>
      <c r="C9" s="30">
        <f>1*365</f>
        <v>365</v>
      </c>
      <c r="D9" s="3" t="s">
        <v>1</v>
      </c>
      <c r="E9" s="11"/>
      <c r="F9" s="29" t="s">
        <v>18</v>
      </c>
      <c r="H9" s="35">
        <f t="shared" si="0"/>
        <v>1250</v>
      </c>
      <c r="I9" s="36">
        <f>I7</f>
        <v>7.2124999999999995</v>
      </c>
      <c r="J9" s="38"/>
      <c r="K9" s="38"/>
      <c r="L9" s="38"/>
    </row>
    <row r="10" spans="2:12" ht="15.75" x14ac:dyDescent="0.25">
      <c r="B10" s="34" t="s">
        <v>19</v>
      </c>
      <c r="C10" s="30">
        <f>(15*1.15/60)*(365-52)</f>
        <v>89.987499999999997</v>
      </c>
      <c r="D10" s="3" t="s">
        <v>1</v>
      </c>
      <c r="E10" s="11"/>
      <c r="F10" s="29" t="s">
        <v>20</v>
      </c>
      <c r="H10" s="35">
        <f t="shared" si="0"/>
        <v>1500</v>
      </c>
      <c r="I10" s="38"/>
      <c r="J10" s="36">
        <f>(6+45/60)*1.15+1+45/60</f>
        <v>9.5124999999999993</v>
      </c>
      <c r="K10" s="38"/>
      <c r="L10" s="38"/>
    </row>
    <row r="11" spans="2:12" ht="15.75" x14ac:dyDescent="0.25">
      <c r="B11" s="34" t="s">
        <v>21</v>
      </c>
      <c r="C11" s="31">
        <f>SUM(I5:I13)</f>
        <v>36.0625</v>
      </c>
      <c r="D11" s="3" t="s">
        <v>1</v>
      </c>
      <c r="E11" s="11"/>
      <c r="H11" s="35">
        <f t="shared" si="0"/>
        <v>1750</v>
      </c>
      <c r="I11" s="36">
        <f>I9</f>
        <v>7.2124999999999995</v>
      </c>
      <c r="J11" s="38"/>
      <c r="K11" s="38"/>
      <c r="L11" s="38"/>
    </row>
    <row r="12" spans="2:12" ht="20.25" customHeight="1" x14ac:dyDescent="0.25">
      <c r="B12" s="34" t="s">
        <v>22</v>
      </c>
      <c r="C12" s="31">
        <f>SUM(J5:J13)</f>
        <v>19.024999999999999</v>
      </c>
      <c r="D12" s="3"/>
      <c r="E12" s="11"/>
      <c r="H12" s="35">
        <f t="shared" si="0"/>
        <v>2000</v>
      </c>
      <c r="I12" s="38"/>
      <c r="J12" s="38"/>
      <c r="K12" s="38"/>
      <c r="L12" s="36">
        <f>(16+45/60)*1.15+1+45/60</f>
        <v>21.012499999999999</v>
      </c>
    </row>
    <row r="13" spans="2:12" ht="20.25" customHeight="1" x14ac:dyDescent="0.25">
      <c r="B13" s="34" t="s">
        <v>23</v>
      </c>
      <c r="C13" s="31">
        <f>SUM(K5:K13)</f>
        <v>14.112499999999999</v>
      </c>
      <c r="D13" s="3"/>
      <c r="E13" s="11"/>
      <c r="H13" s="35">
        <f t="shared" si="0"/>
        <v>2250</v>
      </c>
      <c r="I13" s="36">
        <f>I11</f>
        <v>7.2124999999999995</v>
      </c>
      <c r="J13" s="38"/>
      <c r="K13" s="38"/>
      <c r="L13" s="38"/>
    </row>
    <row r="14" spans="2:12" ht="15.75" x14ac:dyDescent="0.25">
      <c r="B14" s="34" t="s">
        <v>24</v>
      </c>
      <c r="C14" s="31">
        <f>SUM(L5:L13)</f>
        <v>21.012499999999999</v>
      </c>
      <c r="D14" s="3" t="s">
        <v>1</v>
      </c>
      <c r="E14" s="11"/>
      <c r="H14" s="35">
        <f t="shared" ref="H14:H16" si="1">H13+250</f>
        <v>2500</v>
      </c>
      <c r="I14" s="36"/>
      <c r="J14" s="36">
        <f>(6+45/60)*1.15+1+45/60</f>
        <v>9.5124999999999993</v>
      </c>
      <c r="K14" s="38"/>
      <c r="L14" s="38"/>
    </row>
    <row r="15" spans="2:12" ht="15.75" x14ac:dyDescent="0.25">
      <c r="B15" s="33" t="s">
        <v>7</v>
      </c>
      <c r="C15" s="14">
        <f>SUM(C8:C14)</f>
        <v>910.19999999999993</v>
      </c>
      <c r="D15" s="15" t="s">
        <v>1</v>
      </c>
      <c r="E15" s="16"/>
      <c r="H15" s="35">
        <f t="shared" si="1"/>
        <v>2750</v>
      </c>
      <c r="I15" s="36">
        <f>I13</f>
        <v>7.2124999999999995</v>
      </c>
      <c r="J15" s="38"/>
      <c r="K15" s="38"/>
      <c r="L15" s="38"/>
    </row>
    <row r="16" spans="2:12" ht="15.75" x14ac:dyDescent="0.25">
      <c r="B16" s="9"/>
      <c r="C16" s="10"/>
      <c r="D16" s="4"/>
      <c r="E16" s="17"/>
      <c r="H16" s="35">
        <f t="shared" si="1"/>
        <v>3000</v>
      </c>
      <c r="I16" s="36"/>
      <c r="J16" s="38"/>
      <c r="K16" s="36">
        <f>(10+45/60)*1.15+1+45/60</f>
        <v>14.112499999999999</v>
      </c>
      <c r="L16" s="38"/>
    </row>
    <row r="17" spans="2:12" ht="15.75" x14ac:dyDescent="0.25">
      <c r="B17" s="5" t="s">
        <v>8</v>
      </c>
      <c r="C17" s="18">
        <f>C4-C15</f>
        <v>2221.8000000000002</v>
      </c>
      <c r="D17" s="3" t="s">
        <v>1</v>
      </c>
      <c r="E17" s="16"/>
      <c r="F17" s="50"/>
      <c r="H17" s="35">
        <f t="shared" ref="H17" si="2">H16+250</f>
        <v>3250</v>
      </c>
      <c r="I17" s="36">
        <f>(4+45/60)*1.15+1+45/60</f>
        <v>7.2124999999999995</v>
      </c>
      <c r="J17" s="38"/>
      <c r="K17" s="38"/>
      <c r="L17" s="38"/>
    </row>
    <row r="18" spans="2:12" ht="15.75" x14ac:dyDescent="0.25">
      <c r="B18" s="9"/>
      <c r="C18" s="10"/>
      <c r="D18" s="4"/>
      <c r="E18" s="17"/>
    </row>
    <row r="19" spans="2:12" ht="15.75" x14ac:dyDescent="0.25">
      <c r="B19" s="19" t="s">
        <v>9</v>
      </c>
      <c r="C19" s="9"/>
      <c r="D19" s="4"/>
      <c r="E19" s="17"/>
    </row>
    <row r="20" spans="2:12" ht="15.75" x14ac:dyDescent="0.25">
      <c r="B20" s="6" t="s">
        <v>10</v>
      </c>
      <c r="C20" s="18">
        <v>100</v>
      </c>
      <c r="D20" s="3" t="s">
        <v>1</v>
      </c>
      <c r="E20" s="16"/>
    </row>
    <row r="21" spans="2:12" ht="15.75" x14ac:dyDescent="0.25">
      <c r="B21" s="6" t="s">
        <v>28</v>
      </c>
      <c r="C21" s="18">
        <v>100</v>
      </c>
      <c r="D21" s="3" t="s">
        <v>1</v>
      </c>
      <c r="E21" s="16"/>
    </row>
    <row r="22" spans="2:12" ht="15.75" x14ac:dyDescent="0.25">
      <c r="B22" s="13" t="s">
        <v>7</v>
      </c>
      <c r="C22" s="14">
        <f>C20+C21</f>
        <v>200</v>
      </c>
      <c r="D22" s="15" t="s">
        <v>1</v>
      </c>
      <c r="E22" s="4"/>
    </row>
    <row r="23" spans="2:12" ht="15.75" x14ac:dyDescent="0.25">
      <c r="B23" s="9"/>
      <c r="C23" s="9"/>
      <c r="D23" s="4"/>
      <c r="E23" s="4"/>
    </row>
    <row r="24" spans="2:12" ht="15.75" x14ac:dyDescent="0.25">
      <c r="B24" s="5" t="s">
        <v>11</v>
      </c>
      <c r="C24" s="41">
        <f>C17-C22</f>
        <v>2021.8000000000002</v>
      </c>
      <c r="D24" s="42" t="s">
        <v>1</v>
      </c>
      <c r="E24" s="4"/>
    </row>
    <row r="25" spans="2:12" ht="15.75" x14ac:dyDescent="0.25">
      <c r="B25" s="39" t="s">
        <v>12</v>
      </c>
      <c r="C25" s="43">
        <f>C24/C4</f>
        <v>0.6455300127713921</v>
      </c>
      <c r="D25" s="44"/>
      <c r="E25" s="4"/>
    </row>
    <row r="26" spans="2:12" ht="15.75" x14ac:dyDescent="0.25">
      <c r="B26" s="40" t="s">
        <v>30</v>
      </c>
      <c r="C26" s="40">
        <v>9</v>
      </c>
      <c r="D26" s="42" t="s">
        <v>31</v>
      </c>
      <c r="E26" s="20"/>
    </row>
    <row r="27" spans="2:12" ht="15.75" x14ac:dyDescent="0.25">
      <c r="B27" s="45" t="s">
        <v>29</v>
      </c>
      <c r="C27" s="45">
        <v>11</v>
      </c>
      <c r="D27" s="46" t="s">
        <v>32</v>
      </c>
      <c r="E27" s="20"/>
    </row>
    <row r="28" spans="2:12" ht="15.75" x14ac:dyDescent="0.25">
      <c r="B28" s="49" t="s">
        <v>33</v>
      </c>
      <c r="C28" s="47">
        <f>C24*C26*C27</f>
        <v>200158.2</v>
      </c>
      <c r="D28" s="44" t="s">
        <v>34</v>
      </c>
      <c r="E28" s="20"/>
    </row>
    <row r="29" spans="2:12" ht="15.75" x14ac:dyDescent="0.25">
      <c r="B29" s="49"/>
      <c r="C29" s="7">
        <v>10</v>
      </c>
      <c r="D29" s="44" t="s">
        <v>35</v>
      </c>
      <c r="E29" s="20"/>
    </row>
    <row r="30" spans="2:12" ht="15.75" x14ac:dyDescent="0.25">
      <c r="B30" s="49"/>
      <c r="C30" s="47">
        <f>C28*C29</f>
        <v>2001582</v>
      </c>
      <c r="D30" s="48" t="s">
        <v>36</v>
      </c>
      <c r="E30" s="20"/>
    </row>
    <row r="31" spans="2:12" x14ac:dyDescent="0.25">
      <c r="D31" s="20"/>
    </row>
    <row r="33" spans="2:5" ht="15.75" x14ac:dyDescent="0.25">
      <c r="B33" s="21" t="s">
        <v>13</v>
      </c>
      <c r="C33" s="9"/>
      <c r="D33" s="4"/>
      <c r="E33" s="4"/>
    </row>
    <row r="34" spans="2:5" ht="15.75" x14ac:dyDescent="0.25">
      <c r="B34" s="22" t="s">
        <v>0</v>
      </c>
      <c r="C34" s="12">
        <f>C3</f>
        <v>5628</v>
      </c>
      <c r="D34" s="23" t="s">
        <v>1</v>
      </c>
      <c r="E34" s="24">
        <f>C34/$C$2</f>
        <v>0.6424657534246575</v>
      </c>
    </row>
    <row r="35" spans="2:5" ht="15.75" x14ac:dyDescent="0.25">
      <c r="B35" s="22" t="str">
        <f>B8</f>
        <v>Refrigerio</v>
      </c>
      <c r="C35" s="12">
        <f>C8</f>
        <v>365</v>
      </c>
      <c r="D35" s="23" t="s">
        <v>1</v>
      </c>
      <c r="E35" s="24">
        <f t="shared" ref="E35:E43" si="3">C35/$C$2</f>
        <v>4.1666666666666664E-2</v>
      </c>
    </row>
    <row r="36" spans="2:5" ht="15.75" x14ac:dyDescent="0.25">
      <c r="B36" s="6" t="str">
        <f t="shared" ref="B36:B41" si="4">B9</f>
        <v>Abastecimiento de combustible</v>
      </c>
      <c r="C36" s="12">
        <f t="shared" ref="C36:C41" si="5">C9</f>
        <v>365</v>
      </c>
      <c r="D36" s="23" t="s">
        <v>1</v>
      </c>
      <c r="E36" s="24">
        <f t="shared" si="3"/>
        <v>4.1666666666666664E-2</v>
      </c>
    </row>
    <row r="37" spans="2:5" ht="15.75" x14ac:dyDescent="0.25">
      <c r="B37" s="6" t="str">
        <f t="shared" si="4"/>
        <v>Inspección del camión</v>
      </c>
      <c r="C37" s="12">
        <f t="shared" si="5"/>
        <v>89.987499999999997</v>
      </c>
      <c r="D37" s="23" t="s">
        <v>1</v>
      </c>
      <c r="E37" s="24">
        <f t="shared" si="3"/>
        <v>1.0272545662100457E-2</v>
      </c>
    </row>
    <row r="38" spans="2:5" ht="15.75" x14ac:dyDescent="0.25">
      <c r="B38" s="6" t="str">
        <f t="shared" si="4"/>
        <v>PM 250</v>
      </c>
      <c r="C38" s="12">
        <f t="shared" si="5"/>
        <v>36.0625</v>
      </c>
      <c r="D38" s="23" t="s">
        <v>1</v>
      </c>
      <c r="E38" s="24">
        <f t="shared" si="3"/>
        <v>4.1167237442922373E-3</v>
      </c>
    </row>
    <row r="39" spans="2:5" ht="15.75" x14ac:dyDescent="0.25">
      <c r="B39" s="6" t="str">
        <f t="shared" si="4"/>
        <v>PM 500</v>
      </c>
      <c r="C39" s="12">
        <f t="shared" si="5"/>
        <v>19.024999999999999</v>
      </c>
      <c r="D39" s="23" t="s">
        <v>1</v>
      </c>
      <c r="E39" s="24">
        <f t="shared" si="3"/>
        <v>2.1718036529680363E-3</v>
      </c>
    </row>
    <row r="40" spans="2:5" ht="15.75" x14ac:dyDescent="0.25">
      <c r="B40" s="6" t="str">
        <f t="shared" si="4"/>
        <v>PM 1000</v>
      </c>
      <c r="C40" s="12">
        <f t="shared" si="5"/>
        <v>14.112499999999999</v>
      </c>
      <c r="D40" s="23" t="s">
        <v>1</v>
      </c>
      <c r="E40" s="24">
        <f t="shared" si="3"/>
        <v>1.6110159817351597E-3</v>
      </c>
    </row>
    <row r="41" spans="2:5" ht="15.75" x14ac:dyDescent="0.25">
      <c r="B41" s="6" t="str">
        <f t="shared" si="4"/>
        <v>PM 2000</v>
      </c>
      <c r="C41" s="12">
        <f t="shared" si="5"/>
        <v>21.012499999999999</v>
      </c>
      <c r="D41" s="23" t="s">
        <v>1</v>
      </c>
      <c r="E41" s="24">
        <f t="shared" si="3"/>
        <v>2.3986872146118722E-3</v>
      </c>
    </row>
    <row r="42" spans="2:5" ht="15.75" x14ac:dyDescent="0.25">
      <c r="B42" s="6" t="str">
        <f>B20</f>
        <v>Mantenimiento no programado</v>
      </c>
      <c r="C42" s="12">
        <f>C20</f>
        <v>100</v>
      </c>
      <c r="D42" s="23" t="s">
        <v>1</v>
      </c>
      <c r="E42" s="24">
        <f t="shared" si="3"/>
        <v>1.1415525114155251E-2</v>
      </c>
    </row>
    <row r="43" spans="2:5" ht="15.75" x14ac:dyDescent="0.25">
      <c r="B43" s="6" t="str">
        <f>B21</f>
        <v>Eventos fortuitos</v>
      </c>
      <c r="C43" s="12">
        <f>C21</f>
        <v>100</v>
      </c>
      <c r="D43" s="23" t="s">
        <v>1</v>
      </c>
      <c r="E43" s="24">
        <f t="shared" si="3"/>
        <v>1.1415525114155251E-2</v>
      </c>
    </row>
    <row r="44" spans="2:5" ht="15.75" x14ac:dyDescent="0.25">
      <c r="B44" s="25" t="s">
        <v>14</v>
      </c>
      <c r="C44" s="26">
        <f>SUM(C34:C43)</f>
        <v>6738.2</v>
      </c>
      <c r="D44" s="27" t="s">
        <v>1</v>
      </c>
      <c r="E44" s="28">
        <f>SUM(E34:E43)</f>
        <v>0.76920091324200901</v>
      </c>
    </row>
  </sheetData>
  <mergeCells count="1">
    <mergeCell ref="B28:B30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2024-04-06T00:11:10Z</dcterms:created>
  <dcterms:modified xsi:type="dcterms:W3CDTF">2024-04-06T01:28:57Z</dcterms:modified>
</cp:coreProperties>
</file>