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2 - Producción de la flota minera\"/>
    </mc:Choice>
  </mc:AlternateContent>
  <xr:revisionPtr revIDLastSave="0" documentId="13_ncr:1_{F131DD75-F752-4938-869D-E6685D0F2ACB}" xr6:coauthVersionLast="47" xr6:coauthVersionMax="47" xr10:uidLastSave="{00000000-0000-0000-0000-000000000000}"/>
  <bookViews>
    <workbookView xWindow="-120" yWindow="-120" windowWidth="29040" windowHeight="15840" xr2:uid="{2ED45426-07EB-41B5-AE40-7B6AA954463B}"/>
  </bookViews>
  <sheets>
    <sheet name="Resumen" sheetId="4" r:id="rId1"/>
    <sheet name="Tracción" sheetId="1" r:id="rId2"/>
    <sheet name="Retard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26" i="4" s="1"/>
  <c r="I3" i="4"/>
  <c r="F41" i="1"/>
  <c r="G17" i="4" l="1"/>
  <c r="I16" i="4"/>
  <c r="F46" i="2"/>
  <c r="I15" i="4"/>
  <c r="I14" i="4"/>
  <c r="I13" i="4"/>
  <c r="I11" i="4"/>
  <c r="I12" i="4"/>
  <c r="I9" i="4"/>
  <c r="F43" i="1"/>
  <c r="F44" i="2"/>
  <c r="F43" i="2"/>
  <c r="F39" i="2"/>
  <c r="F45" i="2" s="1"/>
  <c r="F40" i="1"/>
  <c r="I5" i="4"/>
  <c r="I6" i="4"/>
  <c r="I7" i="4"/>
  <c r="I8" i="4"/>
  <c r="I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F55" i="2"/>
  <c r="F56" i="2" s="1"/>
  <c r="F52" i="2"/>
  <c r="F53" i="2" s="1"/>
  <c r="F32" i="2"/>
  <c r="F28" i="2" s="1"/>
  <c r="M9" i="2"/>
  <c r="F36" i="1"/>
  <c r="F29" i="1"/>
  <c r="F25" i="1" s="1"/>
  <c r="M6" i="1"/>
  <c r="I17" i="4" l="1"/>
  <c r="C28" i="4" s="1"/>
  <c r="C29" i="4" s="1"/>
  <c r="F33" i="1"/>
  <c r="F42" i="1"/>
  <c r="F42" i="2"/>
  <c r="F39" i="1"/>
  <c r="F59" i="2"/>
  <c r="F36" i="2"/>
  <c r="F46" i="1" l="1"/>
  <c r="F47" i="1" s="1"/>
  <c r="F49" i="1" s="1"/>
  <c r="F49" i="2"/>
  <c r="F50" i="2" s="1"/>
  <c r="F60" i="2" s="1"/>
</calcChain>
</file>

<file path=xl/sharedStrings.xml><?xml version="1.0" encoding="utf-8"?>
<sst xmlns="http://schemas.openxmlformats.org/spreadsheetml/2006/main" count="186" uniqueCount="84">
  <si>
    <t>Modelo del camión</t>
  </si>
  <si>
    <t>980 E-5</t>
  </si>
  <si>
    <t>Especificación</t>
  </si>
  <si>
    <t>Neumáticos</t>
  </si>
  <si>
    <t>59/80R63</t>
  </si>
  <si>
    <t>Carga útil</t>
  </si>
  <si>
    <t>Peso operativo</t>
  </si>
  <si>
    <t>Peso bruto nominal*</t>
  </si>
  <si>
    <t>*Incluye el chasis, la tolva, los neumáticos, los accesorios (incluidas opciones locales),
los lubricantes, el combustible, el operador, la carga útil y cualquier exceso de material acumulado.</t>
  </si>
  <si>
    <t xml:space="preserve">No exceder más del </t>
  </si>
  <si>
    <t>Tonelada métrica</t>
  </si>
  <si>
    <t>Resistencia aerodinámica</t>
  </si>
  <si>
    <t xml:space="preserve">Resistencia a la pendiente </t>
  </si>
  <si>
    <t>Resistencia a la rodadura</t>
  </si>
  <si>
    <t>Pendiente</t>
  </si>
  <si>
    <t>Coeficiente de rodadura</t>
  </si>
  <si>
    <t>ton</t>
  </si>
  <si>
    <t>°</t>
  </si>
  <si>
    <t>kg/ton</t>
  </si>
  <si>
    <t>ton-f</t>
  </si>
  <si>
    <t>Peso de la carga</t>
  </si>
  <si>
    <t>Densidad del aire</t>
  </si>
  <si>
    <t>Coeficiente de resistencia aerodinámica</t>
  </si>
  <si>
    <t>Área</t>
  </si>
  <si>
    <t>m2</t>
  </si>
  <si>
    <t>km/h</t>
  </si>
  <si>
    <t>kg/m3</t>
  </si>
  <si>
    <t>Fórmula de resistencia aerodinámica</t>
  </si>
  <si>
    <t>Altura área frontal del camión</t>
  </si>
  <si>
    <t>Ancho área frontal del camión</t>
  </si>
  <si>
    <t>m</t>
  </si>
  <si>
    <t>Peso total</t>
  </si>
  <si>
    <t>RETARDO</t>
  </si>
  <si>
    <t>kW</t>
  </si>
  <si>
    <r>
      <rPr>
        <b/>
        <sz val="12"/>
        <color theme="1"/>
        <rFont val="Aptos Narrow"/>
        <family val="2"/>
        <scheme val="minor"/>
      </rPr>
      <t xml:space="preserve">1)  Tracción mecánica: </t>
    </r>
    <r>
      <rPr>
        <sz val="12"/>
        <color theme="1"/>
        <rFont val="Aptos Narrow"/>
        <family val="2"/>
        <scheme val="minor"/>
      </rPr>
      <t xml:space="preserve">La transmisión mecánica tiene una eficiencia de alrededor del </t>
    </r>
    <r>
      <rPr>
        <b/>
        <sz val="12"/>
        <color theme="1"/>
        <rFont val="Aptos Narrow"/>
        <family val="2"/>
        <scheme val="minor"/>
      </rPr>
      <t>85-90%</t>
    </r>
    <r>
      <rPr>
        <sz val="12"/>
        <color theme="1"/>
        <rFont val="Aptos Narrow"/>
        <family val="2"/>
        <scheme val="minor"/>
      </rPr>
      <t xml:space="preserve">.
</t>
    </r>
    <r>
      <rPr>
        <b/>
        <sz val="12"/>
        <color theme="1"/>
        <rFont val="Aptos Narrow"/>
        <family val="2"/>
        <scheme val="minor"/>
      </rPr>
      <t>2) Tracción eléctrica:</t>
    </r>
    <r>
      <rPr>
        <sz val="12"/>
        <color theme="1"/>
        <rFont val="Aptos Narrow"/>
        <family val="2"/>
        <scheme val="minor"/>
      </rPr>
      <t xml:space="preserve"> La transmisión eléctrica tiene una eficiencia de alrededor del </t>
    </r>
    <r>
      <rPr>
        <b/>
        <sz val="12"/>
        <color theme="1"/>
        <rFont val="Aptos Narrow"/>
        <family val="2"/>
        <scheme val="minor"/>
      </rPr>
      <t>90-95%</t>
    </r>
    <r>
      <rPr>
        <sz val="12"/>
        <color theme="1"/>
        <rFont val="Aptos Narrow"/>
        <family val="2"/>
        <scheme val="minor"/>
      </rPr>
      <t>.</t>
    </r>
  </si>
  <si>
    <t>Velocidad máxima</t>
  </si>
  <si>
    <t>POTENCIA DE FRENADO (Máxima)</t>
  </si>
  <si>
    <t>POTENCIA DEL MOTOR (Máxima)</t>
  </si>
  <si>
    <t>POTENCIA DEL RETARDADOR (Máxima)</t>
  </si>
  <si>
    <r>
      <rPr>
        <b/>
        <sz val="12"/>
        <color theme="1"/>
        <rFont val="Aptos Narrow"/>
        <family val="2"/>
        <scheme val="minor"/>
      </rPr>
      <t>1) Retardadores de corriente continua:</t>
    </r>
    <r>
      <rPr>
        <sz val="12"/>
        <color theme="1"/>
        <rFont val="Aptos Narrow"/>
        <family val="2"/>
        <scheme val="minor"/>
      </rPr>
      <t xml:space="preserve"> Tienen una eficiencia de alrededor del </t>
    </r>
    <r>
      <rPr>
        <b/>
        <sz val="12"/>
        <color theme="1"/>
        <rFont val="Aptos Narrow"/>
        <family val="2"/>
        <scheme val="minor"/>
      </rPr>
      <t>85-90%.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>2) Retardadores de inducción:</t>
    </r>
    <r>
      <rPr>
        <sz val="12"/>
        <color theme="1"/>
        <rFont val="Aptos Narrow"/>
        <family val="2"/>
        <scheme val="minor"/>
      </rPr>
      <t xml:space="preserve"> Tienen una eficiencia de alrededor del </t>
    </r>
    <r>
      <rPr>
        <b/>
        <sz val="12"/>
        <color theme="1"/>
        <rFont val="Aptos Narrow"/>
        <family val="2"/>
        <scheme val="minor"/>
      </rPr>
      <t>90-95%</t>
    </r>
    <r>
      <rPr>
        <sz val="12"/>
        <color theme="1"/>
        <rFont val="Aptos Narrow"/>
        <family val="2"/>
        <scheme val="minor"/>
      </rPr>
      <t>.</t>
    </r>
  </si>
  <si>
    <t>FUERZA DE RROPULSIÓN</t>
  </si>
  <si>
    <t xml:space="preserve">SISTEMA DE TRACCIÓN ELÉCTRICA </t>
  </si>
  <si>
    <t>FUERZA DE FRENADO</t>
  </si>
  <si>
    <t>POTENCIA DE FRENADO REQUERIDA</t>
  </si>
  <si>
    <t>POTENCIA DE FRENO DE SERVICIO (Máxima)</t>
  </si>
  <si>
    <t>FRENO DE SERVICIO (Máxima)</t>
  </si>
  <si>
    <t>SISTEMA DE FRENO</t>
  </si>
  <si>
    <t>EFICIENCIA DEL RETARDADOR</t>
  </si>
  <si>
    <t>PRESIÓN DE FRENADO DE SERVICIO (Máxima)</t>
  </si>
  <si>
    <t>kPa</t>
  </si>
  <si>
    <t>AREA DE FRICCIÓN TOTAL</t>
  </si>
  <si>
    <t>EFICIENCIA DEL FRENO DE SERVICIO</t>
  </si>
  <si>
    <t>POTENCIA EN LA TRACCIÓN REQUERIDA</t>
  </si>
  <si>
    <t>FUERZA DE FRENADO EFECTIVA</t>
  </si>
  <si>
    <r>
      <t xml:space="preserve">La eficiencia del freno de servicio de un camión minero puede variar entre el </t>
    </r>
    <r>
      <rPr>
        <b/>
        <sz val="12"/>
        <color theme="1"/>
        <rFont val="Aptos Narrow"/>
        <family val="2"/>
        <scheme val="minor"/>
      </rPr>
      <t>70% y el 90%</t>
    </r>
    <r>
      <rPr>
        <sz val="12"/>
        <color theme="1"/>
        <rFont val="Aptos Narrow"/>
        <family val="2"/>
        <scheme val="minor"/>
      </rPr>
      <t>.</t>
    </r>
  </si>
  <si>
    <t xml:space="preserve">TRAMO </t>
  </si>
  <si>
    <t>DISTANCIA (km)</t>
  </si>
  <si>
    <t>TIEMPO (Minutos)</t>
  </si>
  <si>
    <t>ETAPA</t>
  </si>
  <si>
    <t>CARGA</t>
  </si>
  <si>
    <t>DESCARGA</t>
  </si>
  <si>
    <t>TRANSPORTE</t>
  </si>
  <si>
    <t>PENDIENTE (°)</t>
  </si>
  <si>
    <t>RODADURA (kg/tm)</t>
  </si>
  <si>
    <t>TIPO</t>
  </si>
  <si>
    <t>TRACCIÓN</t>
  </si>
  <si>
    <t>CARGA ÚTIL (ton)</t>
  </si>
  <si>
    <t>TOTAL</t>
  </si>
  <si>
    <t>Velocidad máxima en tajo abierto 30 km/h</t>
  </si>
  <si>
    <t>VELOCIDAD* (km/h)</t>
  </si>
  <si>
    <t xml:space="preserve">Carga </t>
  </si>
  <si>
    <t>Eficiencia</t>
  </si>
  <si>
    <t>Duración del ciclo</t>
  </si>
  <si>
    <t xml:space="preserve">EFICIENCIA </t>
  </si>
  <si>
    <t>COEFICIENTE DE RODADURA</t>
  </si>
  <si>
    <t>minutos</t>
  </si>
  <si>
    <t>Paladas</t>
  </si>
  <si>
    <t>Duración de palada</t>
  </si>
  <si>
    <t>Densidad del manterial</t>
  </si>
  <si>
    <t>ton/m3</t>
  </si>
  <si>
    <t>ton/h</t>
  </si>
  <si>
    <t>m3</t>
  </si>
  <si>
    <t>Volumen de la palada</t>
  </si>
  <si>
    <t>PRODUCCIÓN CAMIÓN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</si>
</sst>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9" fontId="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64" fontId="4" fillId="5" borderId="1" xfId="0" applyNumberFormat="1" applyFont="1" applyFill="1" applyBorder="1"/>
    <xf numFmtId="0" fontId="4" fillId="5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vertical="top" wrapText="1"/>
    </xf>
    <xf numFmtId="0" fontId="2" fillId="0" borderId="0" xfId="0" applyFont="1"/>
    <xf numFmtId="2" fontId="3" fillId="4" borderId="1" xfId="0" applyNumberFormat="1" applyFont="1" applyFill="1" applyBorder="1"/>
    <xf numFmtId="0" fontId="3" fillId="0" borderId="0" xfId="0" applyFont="1" applyAlignment="1">
      <alignment horizontal="left"/>
    </xf>
    <xf numFmtId="164" fontId="5" fillId="6" borderId="1" xfId="0" applyNumberFormat="1" applyFont="1" applyFill="1" applyBorder="1"/>
    <xf numFmtId="0" fontId="5" fillId="6" borderId="1" xfId="0" applyFont="1" applyFill="1" applyBorder="1" applyAlignment="1">
      <alignment horizontal="right"/>
    </xf>
    <xf numFmtId="1" fontId="5" fillId="6" borderId="1" xfId="0" applyNumberFormat="1" applyFont="1" applyFill="1" applyBorder="1"/>
    <xf numFmtId="0" fontId="7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horizontal="center" wrapText="1"/>
    </xf>
    <xf numFmtId="9" fontId="6" fillId="7" borderId="1" xfId="1" applyFont="1" applyFill="1" applyBorder="1"/>
    <xf numFmtId="0" fontId="6" fillId="7" borderId="1" xfId="0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5" fillId="6" borderId="1" xfId="0" applyFont="1" applyFill="1" applyBorder="1"/>
    <xf numFmtId="0" fontId="3" fillId="6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 wrapText="1"/>
    </xf>
    <xf numFmtId="165" fontId="3" fillId="0" borderId="1" xfId="2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right" wrapText="1"/>
    </xf>
    <xf numFmtId="164" fontId="8" fillId="0" borderId="1" xfId="0" applyNumberFormat="1" applyFont="1" applyBorder="1" applyAlignment="1">
      <alignment horizontal="right" wrapText="1"/>
    </xf>
    <xf numFmtId="0" fontId="3" fillId="0" borderId="0" xfId="0" applyFont="1" applyAlignment="1">
      <alignment horizontal="center" wrapText="1"/>
    </xf>
    <xf numFmtId="0" fontId="8" fillId="0" borderId="0" xfId="0" applyFont="1"/>
    <xf numFmtId="0" fontId="4" fillId="9" borderId="1" xfId="0" applyFont="1" applyFill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3" fillId="7" borderId="6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640772</xdr:colOff>
      <xdr:row>32</xdr:row>
      <xdr:rowOff>147204</xdr:rowOff>
    </xdr:from>
    <xdr:to>
      <xdr:col>7</xdr:col>
      <xdr:colOff>528204</xdr:colOff>
      <xdr:row>46</xdr:row>
      <xdr:rowOff>173181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990D8-2B52-A764-31BD-F6CD388AA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05" t="16587" r="1343" b="1529"/>
        <a:stretch/>
      </xdr:blipFill>
      <xdr:spPr>
        <a:xfrm>
          <a:off x="640772" y="6234545"/>
          <a:ext cx="7992341" cy="2692977"/>
        </a:xfrm>
        <a:prstGeom prst="rect">
          <a:avLst/>
        </a:prstGeom>
      </xdr:spPr>
    </xdr:pic>
    <xdr:clientData/>
  </xdr:twoCellAnchor>
  <xdr:twoCellAnchor editAs="oneCell">
    <xdr:from>
      <xdr:col>0</xdr:col>
      <xdr:colOff>684068</xdr:colOff>
      <xdr:row>49</xdr:row>
      <xdr:rowOff>121228</xdr:rowOff>
    </xdr:from>
    <xdr:to>
      <xdr:col>8</xdr:col>
      <xdr:colOff>82915</xdr:colOff>
      <xdr:row>69</xdr:row>
      <xdr:rowOff>181841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AE6A2-9F02-336A-F2B3-3BF914C3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068" y="9447069"/>
          <a:ext cx="8430279" cy="3870613"/>
        </a:xfrm>
        <a:prstGeom prst="rect">
          <a:avLst/>
        </a:prstGeom>
      </xdr:spPr>
    </xdr:pic>
    <xdr:clientData/>
  </xdr:twoCellAnchor>
  <xdr:twoCellAnchor editAs="oneCell">
    <xdr:from>
      <xdr:col>4</xdr:col>
      <xdr:colOff>1013114</xdr:colOff>
      <xdr:row>19</xdr:row>
      <xdr:rowOff>121228</xdr:rowOff>
    </xdr:from>
    <xdr:to>
      <xdr:col>9</xdr:col>
      <xdr:colOff>43295</xdr:colOff>
      <xdr:row>30</xdr:row>
      <xdr:rowOff>88505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038098-EA2C-F3FE-BB13-6BD2F8D5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8409" y="4095751"/>
          <a:ext cx="4398818" cy="2149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3</xdr:row>
      <xdr:rowOff>171451</xdr:rowOff>
    </xdr:from>
    <xdr:to>
      <xdr:col>8</xdr:col>
      <xdr:colOff>285753</xdr:colOff>
      <xdr:row>21</xdr:row>
      <xdr:rowOff>142875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A3A268F0-BD60-4B9B-6C88-B8C8B61D4C10}"/>
            </a:ext>
          </a:extLst>
        </xdr:cNvPr>
        <xdr:cNvGrpSpPr/>
      </xdr:nvGrpSpPr>
      <xdr:grpSpPr>
        <a:xfrm>
          <a:off x="752475" y="764118"/>
          <a:ext cx="5629278" cy="3453340"/>
          <a:chOff x="3886200" y="1914526"/>
          <a:chExt cx="5629278" cy="3400424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DCCC6AE3-27EA-B3AC-E4F6-4A35B683E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20776651">
            <a:off x="3943350" y="1914526"/>
            <a:ext cx="5305425" cy="2867025"/>
          </a:xfrm>
          <a:prstGeom prst="rect">
            <a:avLst/>
          </a:prstGeom>
        </xdr:spPr>
      </xdr:pic>
      <xdr:sp macro="" textlink="">
        <xdr:nvSpPr>
          <xdr:cNvPr id="5" name="Forma libre: forma 4">
            <a:extLst>
              <a:ext uri="{FF2B5EF4-FFF2-40B4-BE49-F238E27FC236}">
                <a16:creationId xmlns:a16="http://schemas.microsoft.com/office/drawing/2014/main" id="{811E63AB-F7AA-E920-457F-955CDB4468AC}"/>
              </a:ext>
            </a:extLst>
          </xdr:cNvPr>
          <xdr:cNvSpPr/>
        </xdr:nvSpPr>
        <xdr:spPr>
          <a:xfrm>
            <a:off x="3886200" y="1924050"/>
            <a:ext cx="2990850" cy="962025"/>
          </a:xfrm>
          <a:custGeom>
            <a:avLst/>
            <a:gdLst>
              <a:gd name="connsiteX0" fmla="*/ 0 w 2990850"/>
              <a:gd name="connsiteY0" fmla="*/ 962025 h 962025"/>
              <a:gd name="connsiteX1" fmla="*/ 85725 w 2990850"/>
              <a:gd name="connsiteY1" fmla="*/ 819150 h 962025"/>
              <a:gd name="connsiteX2" fmla="*/ 152400 w 2990850"/>
              <a:gd name="connsiteY2" fmla="*/ 771525 h 962025"/>
              <a:gd name="connsiteX3" fmla="*/ 266700 w 2990850"/>
              <a:gd name="connsiteY3" fmla="*/ 695325 h 962025"/>
              <a:gd name="connsiteX4" fmla="*/ 352425 w 2990850"/>
              <a:gd name="connsiteY4" fmla="*/ 619125 h 962025"/>
              <a:gd name="connsiteX5" fmla="*/ 409575 w 2990850"/>
              <a:gd name="connsiteY5" fmla="*/ 514350 h 962025"/>
              <a:gd name="connsiteX6" fmla="*/ 542925 w 2990850"/>
              <a:gd name="connsiteY6" fmla="*/ 419100 h 962025"/>
              <a:gd name="connsiteX7" fmla="*/ 590550 w 2990850"/>
              <a:gd name="connsiteY7" fmla="*/ 400050 h 962025"/>
              <a:gd name="connsiteX8" fmla="*/ 628650 w 2990850"/>
              <a:gd name="connsiteY8" fmla="*/ 371475 h 962025"/>
              <a:gd name="connsiteX9" fmla="*/ 676275 w 2990850"/>
              <a:gd name="connsiteY9" fmla="*/ 352425 h 962025"/>
              <a:gd name="connsiteX10" fmla="*/ 800100 w 2990850"/>
              <a:gd name="connsiteY10" fmla="*/ 285750 h 962025"/>
              <a:gd name="connsiteX11" fmla="*/ 866775 w 2990850"/>
              <a:gd name="connsiteY11" fmla="*/ 257175 h 962025"/>
              <a:gd name="connsiteX12" fmla="*/ 952500 w 2990850"/>
              <a:gd name="connsiteY12" fmla="*/ 209550 h 962025"/>
              <a:gd name="connsiteX13" fmla="*/ 1181100 w 2990850"/>
              <a:gd name="connsiteY13" fmla="*/ 142875 h 962025"/>
              <a:gd name="connsiteX14" fmla="*/ 1209675 w 2990850"/>
              <a:gd name="connsiteY14" fmla="*/ 133350 h 962025"/>
              <a:gd name="connsiteX15" fmla="*/ 1295400 w 2990850"/>
              <a:gd name="connsiteY15" fmla="*/ 114300 h 962025"/>
              <a:gd name="connsiteX16" fmla="*/ 1333500 w 2990850"/>
              <a:gd name="connsiteY16" fmla="*/ 104775 h 962025"/>
              <a:gd name="connsiteX17" fmla="*/ 1381125 w 2990850"/>
              <a:gd name="connsiteY17" fmla="*/ 95250 h 962025"/>
              <a:gd name="connsiteX18" fmla="*/ 1409700 w 2990850"/>
              <a:gd name="connsiteY18" fmla="*/ 85725 h 962025"/>
              <a:gd name="connsiteX19" fmla="*/ 1609725 w 2990850"/>
              <a:gd name="connsiteY19" fmla="*/ 66675 h 962025"/>
              <a:gd name="connsiteX20" fmla="*/ 1704975 w 2990850"/>
              <a:gd name="connsiteY20" fmla="*/ 38100 h 962025"/>
              <a:gd name="connsiteX21" fmla="*/ 1733550 w 2990850"/>
              <a:gd name="connsiteY21" fmla="*/ 28575 h 962025"/>
              <a:gd name="connsiteX22" fmla="*/ 1876425 w 2990850"/>
              <a:gd name="connsiteY22" fmla="*/ 0 h 962025"/>
              <a:gd name="connsiteX23" fmla="*/ 2019300 w 2990850"/>
              <a:gd name="connsiteY23" fmla="*/ 9525 h 962025"/>
              <a:gd name="connsiteX24" fmla="*/ 2066925 w 2990850"/>
              <a:gd name="connsiteY24" fmla="*/ 19050 h 962025"/>
              <a:gd name="connsiteX25" fmla="*/ 2343150 w 2990850"/>
              <a:gd name="connsiteY25" fmla="*/ 28575 h 962025"/>
              <a:gd name="connsiteX26" fmla="*/ 2447925 w 2990850"/>
              <a:gd name="connsiteY26" fmla="*/ 57150 h 962025"/>
              <a:gd name="connsiteX27" fmla="*/ 2495550 w 2990850"/>
              <a:gd name="connsiteY27" fmla="*/ 66675 h 962025"/>
              <a:gd name="connsiteX28" fmla="*/ 2552700 w 2990850"/>
              <a:gd name="connsiteY28" fmla="*/ 76200 h 962025"/>
              <a:gd name="connsiteX29" fmla="*/ 2581275 w 2990850"/>
              <a:gd name="connsiteY29" fmla="*/ 85725 h 962025"/>
              <a:gd name="connsiteX30" fmla="*/ 2686050 w 2990850"/>
              <a:gd name="connsiteY30" fmla="*/ 104775 h 962025"/>
              <a:gd name="connsiteX31" fmla="*/ 2733675 w 2990850"/>
              <a:gd name="connsiteY31" fmla="*/ 123825 h 962025"/>
              <a:gd name="connsiteX32" fmla="*/ 2771775 w 2990850"/>
              <a:gd name="connsiteY32" fmla="*/ 133350 h 962025"/>
              <a:gd name="connsiteX33" fmla="*/ 2800350 w 2990850"/>
              <a:gd name="connsiteY33" fmla="*/ 142875 h 962025"/>
              <a:gd name="connsiteX34" fmla="*/ 2905125 w 2990850"/>
              <a:gd name="connsiteY34" fmla="*/ 171450 h 962025"/>
              <a:gd name="connsiteX35" fmla="*/ 2990850 w 2990850"/>
              <a:gd name="connsiteY35" fmla="*/ 209550 h 9620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</a:cxnLst>
            <a:rect l="l" t="t" r="r" b="b"/>
            <a:pathLst>
              <a:path w="2990850" h="962025">
                <a:moveTo>
                  <a:pt x="0" y="962025"/>
                </a:moveTo>
                <a:cubicBezTo>
                  <a:pt x="17796" y="926432"/>
                  <a:pt x="58906" y="838307"/>
                  <a:pt x="85725" y="819150"/>
                </a:cubicBezTo>
                <a:cubicBezTo>
                  <a:pt x="107950" y="803275"/>
                  <a:pt x="129675" y="786675"/>
                  <a:pt x="152400" y="771525"/>
                </a:cubicBezTo>
                <a:cubicBezTo>
                  <a:pt x="212287" y="731600"/>
                  <a:pt x="201421" y="749724"/>
                  <a:pt x="266700" y="695325"/>
                </a:cubicBezTo>
                <a:cubicBezTo>
                  <a:pt x="443251" y="548199"/>
                  <a:pt x="213138" y="723591"/>
                  <a:pt x="352425" y="619125"/>
                </a:cubicBezTo>
                <a:cubicBezTo>
                  <a:pt x="360643" y="602688"/>
                  <a:pt x="394933" y="530456"/>
                  <a:pt x="409575" y="514350"/>
                </a:cubicBezTo>
                <a:cubicBezTo>
                  <a:pt x="448294" y="471759"/>
                  <a:pt x="492277" y="444424"/>
                  <a:pt x="542925" y="419100"/>
                </a:cubicBezTo>
                <a:cubicBezTo>
                  <a:pt x="558218" y="411454"/>
                  <a:pt x="575604" y="408353"/>
                  <a:pt x="590550" y="400050"/>
                </a:cubicBezTo>
                <a:cubicBezTo>
                  <a:pt x="604427" y="392340"/>
                  <a:pt x="614773" y="379185"/>
                  <a:pt x="628650" y="371475"/>
                </a:cubicBezTo>
                <a:cubicBezTo>
                  <a:pt x="643596" y="363172"/>
                  <a:pt x="660982" y="360071"/>
                  <a:pt x="676275" y="352425"/>
                </a:cubicBezTo>
                <a:cubicBezTo>
                  <a:pt x="823408" y="278859"/>
                  <a:pt x="668496" y="346490"/>
                  <a:pt x="800100" y="285750"/>
                </a:cubicBezTo>
                <a:cubicBezTo>
                  <a:pt x="822055" y="275617"/>
                  <a:pt x="845148" y="267989"/>
                  <a:pt x="866775" y="257175"/>
                </a:cubicBezTo>
                <a:cubicBezTo>
                  <a:pt x="933435" y="223845"/>
                  <a:pt x="847223" y="247832"/>
                  <a:pt x="952500" y="209550"/>
                </a:cubicBezTo>
                <a:cubicBezTo>
                  <a:pt x="1095074" y="157705"/>
                  <a:pt x="1070393" y="173068"/>
                  <a:pt x="1181100" y="142875"/>
                </a:cubicBezTo>
                <a:cubicBezTo>
                  <a:pt x="1190786" y="140233"/>
                  <a:pt x="1199935" y="135785"/>
                  <a:pt x="1209675" y="133350"/>
                </a:cubicBezTo>
                <a:cubicBezTo>
                  <a:pt x="1238073" y="126250"/>
                  <a:pt x="1266878" y="120882"/>
                  <a:pt x="1295400" y="114300"/>
                </a:cubicBezTo>
                <a:cubicBezTo>
                  <a:pt x="1308156" y="111356"/>
                  <a:pt x="1320721" y="107615"/>
                  <a:pt x="1333500" y="104775"/>
                </a:cubicBezTo>
                <a:cubicBezTo>
                  <a:pt x="1349304" y="101263"/>
                  <a:pt x="1365419" y="99177"/>
                  <a:pt x="1381125" y="95250"/>
                </a:cubicBezTo>
                <a:cubicBezTo>
                  <a:pt x="1390865" y="92815"/>
                  <a:pt x="1399737" y="86970"/>
                  <a:pt x="1409700" y="85725"/>
                </a:cubicBezTo>
                <a:cubicBezTo>
                  <a:pt x="1476159" y="77418"/>
                  <a:pt x="1609725" y="66675"/>
                  <a:pt x="1609725" y="66675"/>
                </a:cubicBezTo>
                <a:cubicBezTo>
                  <a:pt x="1745538" y="21404"/>
                  <a:pt x="1604208" y="66890"/>
                  <a:pt x="1704975" y="38100"/>
                </a:cubicBezTo>
                <a:cubicBezTo>
                  <a:pt x="1714629" y="35342"/>
                  <a:pt x="1723810" y="31010"/>
                  <a:pt x="1733550" y="28575"/>
                </a:cubicBezTo>
                <a:cubicBezTo>
                  <a:pt x="1803269" y="11145"/>
                  <a:pt x="1813400" y="10504"/>
                  <a:pt x="1876425" y="0"/>
                </a:cubicBezTo>
                <a:cubicBezTo>
                  <a:pt x="1924050" y="3175"/>
                  <a:pt x="1971806" y="4776"/>
                  <a:pt x="2019300" y="9525"/>
                </a:cubicBezTo>
                <a:cubicBezTo>
                  <a:pt x="2035409" y="11136"/>
                  <a:pt x="2050764" y="18099"/>
                  <a:pt x="2066925" y="19050"/>
                </a:cubicBezTo>
                <a:cubicBezTo>
                  <a:pt x="2158896" y="24460"/>
                  <a:pt x="2251075" y="25400"/>
                  <a:pt x="2343150" y="28575"/>
                </a:cubicBezTo>
                <a:cubicBezTo>
                  <a:pt x="2375658" y="37863"/>
                  <a:pt x="2413880" y="49584"/>
                  <a:pt x="2447925" y="57150"/>
                </a:cubicBezTo>
                <a:cubicBezTo>
                  <a:pt x="2463729" y="60662"/>
                  <a:pt x="2479622" y="63779"/>
                  <a:pt x="2495550" y="66675"/>
                </a:cubicBezTo>
                <a:cubicBezTo>
                  <a:pt x="2514551" y="70130"/>
                  <a:pt x="2533847" y="72010"/>
                  <a:pt x="2552700" y="76200"/>
                </a:cubicBezTo>
                <a:cubicBezTo>
                  <a:pt x="2562501" y="78378"/>
                  <a:pt x="2571535" y="83290"/>
                  <a:pt x="2581275" y="85725"/>
                </a:cubicBezTo>
                <a:cubicBezTo>
                  <a:pt x="2607900" y="92381"/>
                  <a:pt x="2660574" y="100529"/>
                  <a:pt x="2686050" y="104775"/>
                </a:cubicBezTo>
                <a:cubicBezTo>
                  <a:pt x="2701925" y="111125"/>
                  <a:pt x="2717455" y="118418"/>
                  <a:pt x="2733675" y="123825"/>
                </a:cubicBezTo>
                <a:cubicBezTo>
                  <a:pt x="2746094" y="127965"/>
                  <a:pt x="2759188" y="129754"/>
                  <a:pt x="2771775" y="133350"/>
                </a:cubicBezTo>
                <a:cubicBezTo>
                  <a:pt x="2781429" y="136108"/>
                  <a:pt x="2790664" y="140233"/>
                  <a:pt x="2800350" y="142875"/>
                </a:cubicBezTo>
                <a:cubicBezTo>
                  <a:pt x="2804177" y="143919"/>
                  <a:pt x="2883201" y="161485"/>
                  <a:pt x="2905125" y="171450"/>
                </a:cubicBezTo>
                <a:cubicBezTo>
                  <a:pt x="2992069" y="210970"/>
                  <a:pt x="2952043" y="209550"/>
                  <a:pt x="2990850" y="209550"/>
                </a:cubicBezTo>
              </a:path>
            </a:pathLst>
          </a:custGeom>
          <a:solidFill>
            <a:schemeClr val="bg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7" name="Triángulo rectángulo 6">
            <a:extLst>
              <a:ext uri="{FF2B5EF4-FFF2-40B4-BE49-F238E27FC236}">
                <a16:creationId xmlns:a16="http://schemas.microsoft.com/office/drawing/2014/main" id="{76DD29A4-F761-BD59-6DBF-1FADAA0D6D32}"/>
              </a:ext>
            </a:extLst>
          </xdr:cNvPr>
          <xdr:cNvSpPr/>
        </xdr:nvSpPr>
        <xdr:spPr>
          <a:xfrm rot="16200000">
            <a:off x="6248404" y="2047875"/>
            <a:ext cx="1362074" cy="5172075"/>
          </a:xfrm>
          <a:prstGeom prst="rt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8</xdr:col>
      <xdr:colOff>113827</xdr:colOff>
      <xdr:row>5</xdr:row>
      <xdr:rowOff>157293</xdr:rowOff>
    </xdr:from>
    <xdr:to>
      <xdr:col>9</xdr:col>
      <xdr:colOff>733685</xdr:colOff>
      <xdr:row>8</xdr:row>
      <xdr:rowOff>56865</xdr:rowOff>
    </xdr:to>
    <xdr:sp macro="" textlink="">
      <xdr:nvSpPr>
        <xdr:cNvPr id="10" name="Flecha: hacia la izquierda 9">
          <a:extLst>
            <a:ext uri="{FF2B5EF4-FFF2-40B4-BE49-F238E27FC236}">
              <a16:creationId xmlns:a16="http://schemas.microsoft.com/office/drawing/2014/main" id="{ABE3DA12-5EBF-ACD5-5414-84AAAD7100A9}"/>
            </a:ext>
          </a:extLst>
        </xdr:cNvPr>
        <xdr:cNvSpPr/>
      </xdr:nvSpPr>
      <xdr:spPr>
        <a:xfrm rot="20709212">
          <a:off x="6209827" y="1520101"/>
          <a:ext cx="1381858" cy="49305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 Aerodinámica</a:t>
          </a:r>
        </a:p>
      </xdr:txBody>
    </xdr:sp>
    <xdr:clientData/>
  </xdr:twoCellAnchor>
  <xdr:twoCellAnchor>
    <xdr:from>
      <xdr:col>0</xdr:col>
      <xdr:colOff>414987</xdr:colOff>
      <xdr:row>18</xdr:row>
      <xdr:rowOff>92286</xdr:rowOff>
    </xdr:from>
    <xdr:to>
      <xdr:col>2</xdr:col>
      <xdr:colOff>139729</xdr:colOff>
      <xdr:row>21</xdr:row>
      <xdr:rowOff>13838</xdr:rowOff>
    </xdr:to>
    <xdr:sp macro="" textlink="">
      <xdr:nvSpPr>
        <xdr:cNvPr id="11" name="Flecha: hacia la izquierda 10">
          <a:extLst>
            <a:ext uri="{FF2B5EF4-FFF2-40B4-BE49-F238E27FC236}">
              <a16:creationId xmlns:a16="http://schemas.microsoft.com/office/drawing/2014/main" id="{D6280C73-B06B-4547-919F-D5BA564C4424}"/>
            </a:ext>
          </a:extLst>
        </xdr:cNvPr>
        <xdr:cNvSpPr/>
      </xdr:nvSpPr>
      <xdr:spPr>
        <a:xfrm rot="20709212">
          <a:off x="414987" y="3953574"/>
          <a:ext cx="1248742" cy="49305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 Rodadura</a:t>
          </a:r>
        </a:p>
      </xdr:txBody>
    </xdr:sp>
    <xdr:clientData/>
  </xdr:twoCellAnchor>
  <xdr:twoCellAnchor>
    <xdr:from>
      <xdr:col>0</xdr:col>
      <xdr:colOff>215695</xdr:colOff>
      <xdr:row>15</xdr:row>
      <xdr:rowOff>17552</xdr:rowOff>
    </xdr:from>
    <xdr:to>
      <xdr:col>1</xdr:col>
      <xdr:colOff>702437</xdr:colOff>
      <xdr:row>17</xdr:row>
      <xdr:rowOff>129604</xdr:rowOff>
    </xdr:to>
    <xdr:sp macro="" textlink="">
      <xdr:nvSpPr>
        <xdr:cNvPr id="12" name="Flecha: hacia la izquierda 11">
          <a:extLst>
            <a:ext uri="{FF2B5EF4-FFF2-40B4-BE49-F238E27FC236}">
              <a16:creationId xmlns:a16="http://schemas.microsoft.com/office/drawing/2014/main" id="{8060631E-5AD2-4D0A-8222-57BC4B212569}"/>
            </a:ext>
          </a:extLst>
        </xdr:cNvPr>
        <xdr:cNvSpPr/>
      </xdr:nvSpPr>
      <xdr:spPr>
        <a:xfrm rot="20709212">
          <a:off x="215695" y="3307340"/>
          <a:ext cx="1248742" cy="49305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</a:t>
          </a:r>
          <a:r>
            <a:rPr lang="es-PE" sz="1200" b="1" baseline="0"/>
            <a:t> Pendiente</a:t>
          </a:r>
          <a:endParaRPr lang="es-PE" sz="1200" b="1"/>
        </a:p>
      </xdr:txBody>
    </xdr:sp>
    <xdr:clientData/>
  </xdr:twoCellAnchor>
  <xdr:twoCellAnchor>
    <xdr:from>
      <xdr:col>4</xdr:col>
      <xdr:colOff>424962</xdr:colOff>
      <xdr:row>14</xdr:row>
      <xdr:rowOff>43962</xdr:rowOff>
    </xdr:from>
    <xdr:to>
      <xdr:col>5</xdr:col>
      <xdr:colOff>168520</xdr:colOff>
      <xdr:row>21</xdr:row>
      <xdr:rowOff>36635</xdr:rowOff>
    </xdr:to>
    <xdr:sp macro="" textlink="">
      <xdr:nvSpPr>
        <xdr:cNvPr id="13" name="Flecha: hacia abajo 12">
          <a:extLst>
            <a:ext uri="{FF2B5EF4-FFF2-40B4-BE49-F238E27FC236}">
              <a16:creationId xmlns:a16="http://schemas.microsoft.com/office/drawing/2014/main" id="{DFC6AEC3-5819-BE46-33FC-C84A76B2067D}"/>
            </a:ext>
          </a:extLst>
        </xdr:cNvPr>
        <xdr:cNvSpPr/>
      </xdr:nvSpPr>
      <xdr:spPr>
        <a:xfrm>
          <a:off x="3472962" y="3143250"/>
          <a:ext cx="505558" cy="1326173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Peso</a:t>
          </a:r>
        </a:p>
      </xdr:txBody>
    </xdr:sp>
    <xdr:clientData/>
  </xdr:twoCellAnchor>
  <xdr:twoCellAnchor>
    <xdr:from>
      <xdr:col>7</xdr:col>
      <xdr:colOff>423665</xdr:colOff>
      <xdr:row>9</xdr:row>
      <xdr:rowOff>148051</xdr:rowOff>
    </xdr:from>
    <xdr:to>
      <xdr:col>10</xdr:col>
      <xdr:colOff>154529</xdr:colOff>
      <xdr:row>12</xdr:row>
      <xdr:rowOff>75761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F4B640DD-BCDF-0898-773F-A1C137E56072}"/>
            </a:ext>
          </a:extLst>
        </xdr:cNvPr>
        <xdr:cNvSpPr/>
      </xdr:nvSpPr>
      <xdr:spPr>
        <a:xfrm rot="20751072">
          <a:off x="5757665" y="2294839"/>
          <a:ext cx="2016864" cy="499210"/>
        </a:xfrm>
        <a:prstGeom prst="rightArrow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Fuerza</a:t>
          </a:r>
          <a:r>
            <a:rPr lang="es-PE" sz="1200" b="1" baseline="0"/>
            <a:t> de propulsión	</a:t>
          </a:r>
          <a:endParaRPr lang="es-PE" sz="1200" b="1"/>
        </a:p>
      </xdr:txBody>
    </xdr:sp>
    <xdr:clientData/>
  </xdr:twoCellAnchor>
  <xdr:twoCellAnchor editAs="oneCell">
    <xdr:from>
      <xdr:col>0</xdr:col>
      <xdr:colOff>754674</xdr:colOff>
      <xdr:row>51</xdr:row>
      <xdr:rowOff>29306</xdr:rowOff>
    </xdr:from>
    <xdr:to>
      <xdr:col>4</xdr:col>
      <xdr:colOff>109905</xdr:colOff>
      <xdr:row>54</xdr:row>
      <xdr:rowOff>121757</xdr:rowOff>
    </xdr:to>
    <xdr:pic>
      <xdr:nvPicPr>
        <xdr:cNvPr id="15" name="Imagen 14" descr="Ingeniería Mecánica Aerodinámica en Camiones">
          <a:extLst>
            <a:ext uri="{FF2B5EF4-FFF2-40B4-BE49-F238E27FC236}">
              <a16:creationId xmlns:a16="http://schemas.microsoft.com/office/drawing/2014/main" id="{DE0E0C22-345F-8D09-2BC9-B9809FD9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674" y="8191498"/>
          <a:ext cx="2403231" cy="663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696057</xdr:colOff>
      <xdr:row>56</xdr:row>
      <xdr:rowOff>157516</xdr:rowOff>
    </xdr:from>
    <xdr:to>
      <xdr:col>11</xdr:col>
      <xdr:colOff>732</xdr:colOff>
      <xdr:row>68</xdr:row>
      <xdr:rowOff>129687</xdr:rowOff>
    </xdr:to>
    <xdr:pic>
      <xdr:nvPicPr>
        <xdr:cNvPr id="16" name="Imagen 15" descr="Como afecta la altura a los compresores">
          <a:extLst>
            <a:ext uri="{FF2B5EF4-FFF2-40B4-BE49-F238E27FC236}">
              <a16:creationId xmlns:a16="http://schemas.microsoft.com/office/drawing/2014/main" id="{8DA6F4AE-F870-3FCB-2B6D-16EFAC96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057" y="9272208"/>
          <a:ext cx="3876675" cy="2258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426635</xdr:colOff>
      <xdr:row>56</xdr:row>
      <xdr:rowOff>73270</xdr:rowOff>
    </xdr:from>
    <xdr:to>
      <xdr:col>5</xdr:col>
      <xdr:colOff>381001</xdr:colOff>
      <xdr:row>69</xdr:row>
      <xdr:rowOff>80792</xdr:rowOff>
    </xdr:to>
    <xdr:pic>
      <xdr:nvPicPr>
        <xdr:cNvPr id="17" name="Imagen 16" descr="MeM 005 Aerodinamica">
          <a:extLst>
            <a:ext uri="{FF2B5EF4-FFF2-40B4-BE49-F238E27FC236}">
              <a16:creationId xmlns:a16="http://schemas.microsoft.com/office/drawing/2014/main" id="{FD0AF2BA-A69C-B3E3-9458-53A6956B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635" y="9187962"/>
          <a:ext cx="3764366" cy="248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1105461</xdr:colOff>
      <xdr:row>19</xdr:row>
      <xdr:rowOff>89785</xdr:rowOff>
    </xdr:from>
    <xdr:to>
      <xdr:col>24</xdr:col>
      <xdr:colOff>595376</xdr:colOff>
      <xdr:row>71</xdr:row>
      <xdr:rowOff>117929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BF65F62-FD84-A516-4C59-C48FF3EA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87461" y="3783368"/>
          <a:ext cx="10951665" cy="10188144"/>
        </a:xfrm>
        <a:prstGeom prst="rect">
          <a:avLst/>
        </a:prstGeom>
      </xdr:spPr>
    </xdr:pic>
    <xdr:clientData/>
  </xdr:twoCellAnchor>
  <xdr:twoCellAnchor>
    <xdr:from>
      <xdr:col>13</xdr:col>
      <xdr:colOff>190500</xdr:colOff>
      <xdr:row>30</xdr:row>
      <xdr:rowOff>27215</xdr:rowOff>
    </xdr:from>
    <xdr:to>
      <xdr:col>13</xdr:col>
      <xdr:colOff>204107</xdr:colOff>
      <xdr:row>67</xdr:row>
      <xdr:rowOff>149679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0A64C32A-D166-1472-E371-FCA282CFD6A5}"/>
            </a:ext>
          </a:extLst>
        </xdr:cNvPr>
        <xdr:cNvCxnSpPr/>
      </xdr:nvCxnSpPr>
      <xdr:spPr>
        <a:xfrm>
          <a:off x="11647714" y="5919108"/>
          <a:ext cx="13607" cy="7415892"/>
        </a:xfrm>
        <a:prstGeom prst="line">
          <a:avLst/>
        </a:prstGeom>
        <a:ln w="28575"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612322</xdr:colOff>
      <xdr:row>43</xdr:row>
      <xdr:rowOff>54428</xdr:rowOff>
    </xdr:from>
    <xdr:to>
      <xdr:col>21</xdr:col>
      <xdr:colOff>707571</xdr:colOff>
      <xdr:row>43</xdr:row>
      <xdr:rowOff>81643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82F36922-CB43-BBF7-C9BF-DD922134920A}"/>
            </a:ext>
          </a:extLst>
        </xdr:cNvPr>
        <xdr:cNvCxnSpPr/>
      </xdr:nvCxnSpPr>
      <xdr:spPr>
        <a:xfrm flipV="1">
          <a:off x="10844893" y="8586107"/>
          <a:ext cx="7415892" cy="27215"/>
        </a:xfrm>
        <a:prstGeom prst="line">
          <a:avLst/>
        </a:prstGeom>
        <a:ln w="28575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119063</xdr:colOff>
      <xdr:row>7</xdr:row>
      <xdr:rowOff>26112</xdr:rowOff>
    </xdr:from>
    <xdr:to>
      <xdr:col>8</xdr:col>
      <xdr:colOff>90488</xdr:colOff>
      <xdr:row>22</xdr:row>
      <xdr:rowOff>38205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EEB8DD-D2B5-BC5F-7ED3-65786985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126562">
          <a:off x="881063" y="1395331"/>
          <a:ext cx="5305425" cy="2917218"/>
        </a:xfrm>
        <a:prstGeom prst="rect">
          <a:avLst/>
        </a:prstGeom>
      </xdr:spPr>
    </xdr:pic>
    <xdr:clientData/>
  </xdr:twoCellAnchor>
  <xdr:twoCellAnchor>
    <xdr:from>
      <xdr:col>2</xdr:col>
      <xdr:colOff>38097</xdr:colOff>
      <xdr:row>4</xdr:row>
      <xdr:rowOff>165634</xdr:rowOff>
    </xdr:from>
    <xdr:to>
      <xdr:col>5</xdr:col>
      <xdr:colOff>742947</xdr:colOff>
      <xdr:row>9</xdr:row>
      <xdr:rowOff>132470</xdr:rowOff>
    </xdr:to>
    <xdr:sp macro="" textlink="">
      <xdr:nvSpPr>
        <xdr:cNvPr id="4" name="Forma libre: forma 3">
          <a:extLst>
            <a:ext uri="{FF2B5EF4-FFF2-40B4-BE49-F238E27FC236}">
              <a16:creationId xmlns:a16="http://schemas.microsoft.com/office/drawing/2014/main" id="{00872396-CF69-AA13-5B55-3EDDD94C537E}"/>
            </a:ext>
          </a:extLst>
        </xdr:cNvPr>
        <xdr:cNvSpPr/>
      </xdr:nvSpPr>
      <xdr:spPr>
        <a:xfrm rot="1985676">
          <a:off x="1562097" y="927634"/>
          <a:ext cx="2990850" cy="978867"/>
        </a:xfrm>
        <a:custGeom>
          <a:avLst/>
          <a:gdLst>
            <a:gd name="connsiteX0" fmla="*/ 0 w 2990850"/>
            <a:gd name="connsiteY0" fmla="*/ 962025 h 962025"/>
            <a:gd name="connsiteX1" fmla="*/ 85725 w 2990850"/>
            <a:gd name="connsiteY1" fmla="*/ 819150 h 962025"/>
            <a:gd name="connsiteX2" fmla="*/ 152400 w 2990850"/>
            <a:gd name="connsiteY2" fmla="*/ 771525 h 962025"/>
            <a:gd name="connsiteX3" fmla="*/ 266700 w 2990850"/>
            <a:gd name="connsiteY3" fmla="*/ 695325 h 962025"/>
            <a:gd name="connsiteX4" fmla="*/ 352425 w 2990850"/>
            <a:gd name="connsiteY4" fmla="*/ 619125 h 962025"/>
            <a:gd name="connsiteX5" fmla="*/ 409575 w 2990850"/>
            <a:gd name="connsiteY5" fmla="*/ 514350 h 962025"/>
            <a:gd name="connsiteX6" fmla="*/ 542925 w 2990850"/>
            <a:gd name="connsiteY6" fmla="*/ 419100 h 962025"/>
            <a:gd name="connsiteX7" fmla="*/ 590550 w 2990850"/>
            <a:gd name="connsiteY7" fmla="*/ 400050 h 962025"/>
            <a:gd name="connsiteX8" fmla="*/ 628650 w 2990850"/>
            <a:gd name="connsiteY8" fmla="*/ 371475 h 962025"/>
            <a:gd name="connsiteX9" fmla="*/ 676275 w 2990850"/>
            <a:gd name="connsiteY9" fmla="*/ 352425 h 962025"/>
            <a:gd name="connsiteX10" fmla="*/ 800100 w 2990850"/>
            <a:gd name="connsiteY10" fmla="*/ 285750 h 962025"/>
            <a:gd name="connsiteX11" fmla="*/ 866775 w 2990850"/>
            <a:gd name="connsiteY11" fmla="*/ 257175 h 962025"/>
            <a:gd name="connsiteX12" fmla="*/ 952500 w 2990850"/>
            <a:gd name="connsiteY12" fmla="*/ 209550 h 962025"/>
            <a:gd name="connsiteX13" fmla="*/ 1181100 w 2990850"/>
            <a:gd name="connsiteY13" fmla="*/ 142875 h 962025"/>
            <a:gd name="connsiteX14" fmla="*/ 1209675 w 2990850"/>
            <a:gd name="connsiteY14" fmla="*/ 133350 h 962025"/>
            <a:gd name="connsiteX15" fmla="*/ 1295400 w 2990850"/>
            <a:gd name="connsiteY15" fmla="*/ 114300 h 962025"/>
            <a:gd name="connsiteX16" fmla="*/ 1333500 w 2990850"/>
            <a:gd name="connsiteY16" fmla="*/ 104775 h 962025"/>
            <a:gd name="connsiteX17" fmla="*/ 1381125 w 2990850"/>
            <a:gd name="connsiteY17" fmla="*/ 95250 h 962025"/>
            <a:gd name="connsiteX18" fmla="*/ 1409700 w 2990850"/>
            <a:gd name="connsiteY18" fmla="*/ 85725 h 962025"/>
            <a:gd name="connsiteX19" fmla="*/ 1609725 w 2990850"/>
            <a:gd name="connsiteY19" fmla="*/ 66675 h 962025"/>
            <a:gd name="connsiteX20" fmla="*/ 1704975 w 2990850"/>
            <a:gd name="connsiteY20" fmla="*/ 38100 h 962025"/>
            <a:gd name="connsiteX21" fmla="*/ 1733550 w 2990850"/>
            <a:gd name="connsiteY21" fmla="*/ 28575 h 962025"/>
            <a:gd name="connsiteX22" fmla="*/ 1876425 w 2990850"/>
            <a:gd name="connsiteY22" fmla="*/ 0 h 962025"/>
            <a:gd name="connsiteX23" fmla="*/ 2019300 w 2990850"/>
            <a:gd name="connsiteY23" fmla="*/ 9525 h 962025"/>
            <a:gd name="connsiteX24" fmla="*/ 2066925 w 2990850"/>
            <a:gd name="connsiteY24" fmla="*/ 19050 h 962025"/>
            <a:gd name="connsiteX25" fmla="*/ 2343150 w 2990850"/>
            <a:gd name="connsiteY25" fmla="*/ 28575 h 962025"/>
            <a:gd name="connsiteX26" fmla="*/ 2447925 w 2990850"/>
            <a:gd name="connsiteY26" fmla="*/ 57150 h 962025"/>
            <a:gd name="connsiteX27" fmla="*/ 2495550 w 2990850"/>
            <a:gd name="connsiteY27" fmla="*/ 66675 h 962025"/>
            <a:gd name="connsiteX28" fmla="*/ 2552700 w 2990850"/>
            <a:gd name="connsiteY28" fmla="*/ 76200 h 962025"/>
            <a:gd name="connsiteX29" fmla="*/ 2581275 w 2990850"/>
            <a:gd name="connsiteY29" fmla="*/ 85725 h 962025"/>
            <a:gd name="connsiteX30" fmla="*/ 2686050 w 2990850"/>
            <a:gd name="connsiteY30" fmla="*/ 104775 h 962025"/>
            <a:gd name="connsiteX31" fmla="*/ 2733675 w 2990850"/>
            <a:gd name="connsiteY31" fmla="*/ 123825 h 962025"/>
            <a:gd name="connsiteX32" fmla="*/ 2771775 w 2990850"/>
            <a:gd name="connsiteY32" fmla="*/ 133350 h 962025"/>
            <a:gd name="connsiteX33" fmla="*/ 2800350 w 2990850"/>
            <a:gd name="connsiteY33" fmla="*/ 142875 h 962025"/>
            <a:gd name="connsiteX34" fmla="*/ 2905125 w 2990850"/>
            <a:gd name="connsiteY34" fmla="*/ 171450 h 962025"/>
            <a:gd name="connsiteX35" fmla="*/ 2990850 w 2990850"/>
            <a:gd name="connsiteY35" fmla="*/ 209550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2990850" h="962025">
              <a:moveTo>
                <a:pt x="0" y="962025"/>
              </a:moveTo>
              <a:cubicBezTo>
                <a:pt x="17796" y="926432"/>
                <a:pt x="58906" y="838307"/>
                <a:pt x="85725" y="819150"/>
              </a:cubicBezTo>
              <a:cubicBezTo>
                <a:pt x="107950" y="803275"/>
                <a:pt x="129675" y="786675"/>
                <a:pt x="152400" y="771525"/>
              </a:cubicBezTo>
              <a:cubicBezTo>
                <a:pt x="212287" y="731600"/>
                <a:pt x="201421" y="749724"/>
                <a:pt x="266700" y="695325"/>
              </a:cubicBezTo>
              <a:cubicBezTo>
                <a:pt x="443251" y="548199"/>
                <a:pt x="213138" y="723591"/>
                <a:pt x="352425" y="619125"/>
              </a:cubicBezTo>
              <a:cubicBezTo>
                <a:pt x="360643" y="602688"/>
                <a:pt x="394933" y="530456"/>
                <a:pt x="409575" y="514350"/>
              </a:cubicBezTo>
              <a:cubicBezTo>
                <a:pt x="448294" y="471759"/>
                <a:pt x="492277" y="444424"/>
                <a:pt x="542925" y="419100"/>
              </a:cubicBezTo>
              <a:cubicBezTo>
                <a:pt x="558218" y="411454"/>
                <a:pt x="575604" y="408353"/>
                <a:pt x="590550" y="400050"/>
              </a:cubicBezTo>
              <a:cubicBezTo>
                <a:pt x="604427" y="392340"/>
                <a:pt x="614773" y="379185"/>
                <a:pt x="628650" y="371475"/>
              </a:cubicBezTo>
              <a:cubicBezTo>
                <a:pt x="643596" y="363172"/>
                <a:pt x="660982" y="360071"/>
                <a:pt x="676275" y="352425"/>
              </a:cubicBezTo>
              <a:cubicBezTo>
                <a:pt x="823408" y="278859"/>
                <a:pt x="668496" y="346490"/>
                <a:pt x="800100" y="285750"/>
              </a:cubicBezTo>
              <a:cubicBezTo>
                <a:pt x="822055" y="275617"/>
                <a:pt x="845148" y="267989"/>
                <a:pt x="866775" y="257175"/>
              </a:cubicBezTo>
              <a:cubicBezTo>
                <a:pt x="933435" y="223845"/>
                <a:pt x="847223" y="247832"/>
                <a:pt x="952500" y="209550"/>
              </a:cubicBezTo>
              <a:cubicBezTo>
                <a:pt x="1095074" y="157705"/>
                <a:pt x="1070393" y="173068"/>
                <a:pt x="1181100" y="142875"/>
              </a:cubicBezTo>
              <a:cubicBezTo>
                <a:pt x="1190786" y="140233"/>
                <a:pt x="1199935" y="135785"/>
                <a:pt x="1209675" y="133350"/>
              </a:cubicBezTo>
              <a:cubicBezTo>
                <a:pt x="1238073" y="126250"/>
                <a:pt x="1266878" y="120882"/>
                <a:pt x="1295400" y="114300"/>
              </a:cubicBezTo>
              <a:cubicBezTo>
                <a:pt x="1308156" y="111356"/>
                <a:pt x="1320721" y="107615"/>
                <a:pt x="1333500" y="104775"/>
              </a:cubicBezTo>
              <a:cubicBezTo>
                <a:pt x="1349304" y="101263"/>
                <a:pt x="1365419" y="99177"/>
                <a:pt x="1381125" y="95250"/>
              </a:cubicBezTo>
              <a:cubicBezTo>
                <a:pt x="1390865" y="92815"/>
                <a:pt x="1399737" y="86970"/>
                <a:pt x="1409700" y="85725"/>
              </a:cubicBezTo>
              <a:cubicBezTo>
                <a:pt x="1476159" y="77418"/>
                <a:pt x="1609725" y="66675"/>
                <a:pt x="1609725" y="66675"/>
              </a:cubicBezTo>
              <a:cubicBezTo>
                <a:pt x="1745538" y="21404"/>
                <a:pt x="1604208" y="66890"/>
                <a:pt x="1704975" y="38100"/>
              </a:cubicBezTo>
              <a:cubicBezTo>
                <a:pt x="1714629" y="35342"/>
                <a:pt x="1723810" y="31010"/>
                <a:pt x="1733550" y="28575"/>
              </a:cubicBezTo>
              <a:cubicBezTo>
                <a:pt x="1803269" y="11145"/>
                <a:pt x="1813400" y="10504"/>
                <a:pt x="1876425" y="0"/>
              </a:cubicBezTo>
              <a:cubicBezTo>
                <a:pt x="1924050" y="3175"/>
                <a:pt x="1971806" y="4776"/>
                <a:pt x="2019300" y="9525"/>
              </a:cubicBezTo>
              <a:cubicBezTo>
                <a:pt x="2035409" y="11136"/>
                <a:pt x="2050764" y="18099"/>
                <a:pt x="2066925" y="19050"/>
              </a:cubicBezTo>
              <a:cubicBezTo>
                <a:pt x="2158896" y="24460"/>
                <a:pt x="2251075" y="25400"/>
                <a:pt x="2343150" y="28575"/>
              </a:cubicBezTo>
              <a:cubicBezTo>
                <a:pt x="2375658" y="37863"/>
                <a:pt x="2413880" y="49584"/>
                <a:pt x="2447925" y="57150"/>
              </a:cubicBezTo>
              <a:cubicBezTo>
                <a:pt x="2463729" y="60662"/>
                <a:pt x="2479622" y="63779"/>
                <a:pt x="2495550" y="66675"/>
              </a:cubicBezTo>
              <a:cubicBezTo>
                <a:pt x="2514551" y="70130"/>
                <a:pt x="2533847" y="72010"/>
                <a:pt x="2552700" y="76200"/>
              </a:cubicBezTo>
              <a:cubicBezTo>
                <a:pt x="2562501" y="78378"/>
                <a:pt x="2571535" y="83290"/>
                <a:pt x="2581275" y="85725"/>
              </a:cubicBezTo>
              <a:cubicBezTo>
                <a:pt x="2607900" y="92381"/>
                <a:pt x="2660574" y="100529"/>
                <a:pt x="2686050" y="104775"/>
              </a:cubicBezTo>
              <a:cubicBezTo>
                <a:pt x="2701925" y="111125"/>
                <a:pt x="2717455" y="118418"/>
                <a:pt x="2733675" y="123825"/>
              </a:cubicBezTo>
              <a:cubicBezTo>
                <a:pt x="2746094" y="127965"/>
                <a:pt x="2759188" y="129754"/>
                <a:pt x="2771775" y="133350"/>
              </a:cubicBezTo>
              <a:cubicBezTo>
                <a:pt x="2781429" y="136108"/>
                <a:pt x="2790664" y="140233"/>
                <a:pt x="2800350" y="142875"/>
              </a:cubicBezTo>
              <a:cubicBezTo>
                <a:pt x="2804177" y="143919"/>
                <a:pt x="2883201" y="161485"/>
                <a:pt x="2905125" y="171450"/>
              </a:cubicBezTo>
              <a:cubicBezTo>
                <a:pt x="2992069" y="210970"/>
                <a:pt x="2952043" y="209550"/>
                <a:pt x="2990850" y="209550"/>
              </a:cubicBezTo>
            </a:path>
          </a:pathLst>
        </a:cu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54774</xdr:colOff>
      <xdr:row>17</xdr:row>
      <xdr:rowOff>11908</xdr:rowOff>
    </xdr:from>
    <xdr:to>
      <xdr:col>7</xdr:col>
      <xdr:colOff>416718</xdr:colOff>
      <xdr:row>25</xdr:row>
      <xdr:rowOff>178594</xdr:rowOff>
    </xdr:to>
    <xdr:sp macro="" textlink="">
      <xdr:nvSpPr>
        <xdr:cNvPr id="5" name="Triángulo rectángulo 4">
          <a:extLst>
            <a:ext uri="{FF2B5EF4-FFF2-40B4-BE49-F238E27FC236}">
              <a16:creationId xmlns:a16="http://schemas.microsoft.com/office/drawing/2014/main" id="{965D9F32-52F9-906C-E5B0-64D06405F7FC}"/>
            </a:ext>
          </a:extLst>
        </xdr:cNvPr>
        <xdr:cNvSpPr/>
      </xdr:nvSpPr>
      <xdr:spPr>
        <a:xfrm rot="5400000" flipH="1">
          <a:off x="2438403" y="1712123"/>
          <a:ext cx="1690686" cy="4933944"/>
        </a:xfrm>
        <a:prstGeom prst="rt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23239</xdr:colOff>
      <xdr:row>19</xdr:row>
      <xdr:rowOff>3963</xdr:rowOff>
    </xdr:from>
    <xdr:to>
      <xdr:col>10</xdr:col>
      <xdr:colOff>79069</xdr:colOff>
      <xdr:row>21</xdr:row>
      <xdr:rowOff>129754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6CEF5154-21F2-44EA-9906-3E879E1F7C20}"/>
            </a:ext>
          </a:extLst>
        </xdr:cNvPr>
        <xdr:cNvSpPr/>
      </xdr:nvSpPr>
      <xdr:spPr>
        <a:xfrm rot="1323443">
          <a:off x="6119239" y="3706807"/>
          <a:ext cx="1579830" cy="506791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 Aerodinámica</a:t>
          </a:r>
        </a:p>
      </xdr:txBody>
    </xdr:sp>
    <xdr:clientData/>
  </xdr:twoCellAnchor>
  <xdr:twoCellAnchor>
    <xdr:from>
      <xdr:col>0</xdr:col>
      <xdr:colOff>141143</xdr:colOff>
      <xdr:row>12</xdr:row>
      <xdr:rowOff>116098</xdr:rowOff>
    </xdr:from>
    <xdr:to>
      <xdr:col>1</xdr:col>
      <xdr:colOff>627885</xdr:colOff>
      <xdr:row>15</xdr:row>
      <xdr:rowOff>37650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21B19D06-6A9C-4031-952D-CEC46C41EAA0}"/>
            </a:ext>
          </a:extLst>
        </xdr:cNvPr>
        <xdr:cNvSpPr/>
      </xdr:nvSpPr>
      <xdr:spPr>
        <a:xfrm rot="1185348">
          <a:off x="141143" y="2485442"/>
          <a:ext cx="1248742" cy="49305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 Rodadura</a:t>
          </a:r>
        </a:p>
      </xdr:txBody>
    </xdr:sp>
    <xdr:clientData/>
  </xdr:twoCellAnchor>
  <xdr:twoCellAnchor>
    <xdr:from>
      <xdr:col>0</xdr:col>
      <xdr:colOff>392246</xdr:colOff>
      <xdr:row>9</xdr:row>
      <xdr:rowOff>145902</xdr:rowOff>
    </xdr:from>
    <xdr:to>
      <xdr:col>2</xdr:col>
      <xdr:colOff>242216</xdr:colOff>
      <xdr:row>12</xdr:row>
      <xdr:rowOff>43641</xdr:rowOff>
    </xdr:to>
    <xdr:sp macro="" textlink="">
      <xdr:nvSpPr>
        <xdr:cNvPr id="8" name="Flecha: hacia la izquierda 7">
          <a:extLst>
            <a:ext uri="{FF2B5EF4-FFF2-40B4-BE49-F238E27FC236}">
              <a16:creationId xmlns:a16="http://schemas.microsoft.com/office/drawing/2014/main" id="{3DCC2DA7-40A7-4B63-83F8-505D3054524C}"/>
            </a:ext>
          </a:extLst>
        </xdr:cNvPr>
        <xdr:cNvSpPr/>
      </xdr:nvSpPr>
      <xdr:spPr>
        <a:xfrm rot="1236933" flipH="1">
          <a:off x="392246" y="1919933"/>
          <a:ext cx="1373970" cy="49305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R.</a:t>
          </a:r>
          <a:r>
            <a:rPr lang="es-PE" sz="1200" b="1" baseline="0"/>
            <a:t> Pendiente</a:t>
          </a:r>
          <a:endParaRPr lang="es-PE" sz="1200" b="1"/>
        </a:p>
      </xdr:txBody>
    </xdr:sp>
    <xdr:clientData/>
  </xdr:twoCellAnchor>
  <xdr:twoCellAnchor>
    <xdr:from>
      <xdr:col>4</xdr:col>
      <xdr:colOff>163026</xdr:colOff>
      <xdr:row>17</xdr:row>
      <xdr:rowOff>151118</xdr:rowOff>
    </xdr:from>
    <xdr:to>
      <xdr:col>4</xdr:col>
      <xdr:colOff>668584</xdr:colOff>
      <xdr:row>24</xdr:row>
      <xdr:rowOff>143791</xdr:rowOff>
    </xdr:to>
    <xdr:sp macro="" textlink="">
      <xdr:nvSpPr>
        <xdr:cNvPr id="9" name="Flecha: hacia abajo 8">
          <a:extLst>
            <a:ext uri="{FF2B5EF4-FFF2-40B4-BE49-F238E27FC236}">
              <a16:creationId xmlns:a16="http://schemas.microsoft.com/office/drawing/2014/main" id="{B0A34689-CA5D-43BE-8080-9AD4A429C880}"/>
            </a:ext>
          </a:extLst>
        </xdr:cNvPr>
        <xdr:cNvSpPr/>
      </xdr:nvSpPr>
      <xdr:spPr>
        <a:xfrm>
          <a:off x="3211026" y="3472962"/>
          <a:ext cx="505558" cy="1326173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Peso</a:t>
          </a:r>
        </a:p>
      </xdr:txBody>
    </xdr:sp>
    <xdr:clientData/>
  </xdr:twoCellAnchor>
  <xdr:twoCellAnchor>
    <xdr:from>
      <xdr:col>7</xdr:col>
      <xdr:colOff>520459</xdr:colOff>
      <xdr:row>22</xdr:row>
      <xdr:rowOff>86790</xdr:rowOff>
    </xdr:from>
    <xdr:to>
      <xdr:col>9</xdr:col>
      <xdr:colOff>626594</xdr:colOff>
      <xdr:row>25</xdr:row>
      <xdr:rowOff>14500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C839755C-B2C8-42CD-86ED-9DB639F97982}"/>
            </a:ext>
          </a:extLst>
        </xdr:cNvPr>
        <xdr:cNvSpPr/>
      </xdr:nvSpPr>
      <xdr:spPr>
        <a:xfrm rot="1295669" flipH="1">
          <a:off x="5854459" y="4361134"/>
          <a:ext cx="1630135" cy="499210"/>
        </a:xfrm>
        <a:prstGeom prst="rightArrow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Fuerza de frenado	</a:t>
          </a:r>
        </a:p>
      </xdr:txBody>
    </xdr:sp>
    <xdr:clientData/>
  </xdr:twoCellAnchor>
  <xdr:twoCellAnchor editAs="oneCell">
    <xdr:from>
      <xdr:col>0</xdr:col>
      <xdr:colOff>754674</xdr:colOff>
      <xdr:row>62</xdr:row>
      <xdr:rowOff>29306</xdr:rowOff>
    </xdr:from>
    <xdr:to>
      <xdr:col>4</xdr:col>
      <xdr:colOff>109905</xdr:colOff>
      <xdr:row>65</xdr:row>
      <xdr:rowOff>121757</xdr:rowOff>
    </xdr:to>
    <xdr:pic>
      <xdr:nvPicPr>
        <xdr:cNvPr id="11" name="Imagen 10" descr="Ingeniería Mecánica Aerodinámica en Camiones">
          <a:extLst>
            <a:ext uri="{FF2B5EF4-FFF2-40B4-BE49-F238E27FC236}">
              <a16:creationId xmlns:a16="http://schemas.microsoft.com/office/drawing/2014/main" id="{46D38DFF-C58C-4727-80E0-FDA34385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674" y="9440006"/>
          <a:ext cx="2403231" cy="663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705582</xdr:colOff>
      <xdr:row>67</xdr:row>
      <xdr:rowOff>119416</xdr:rowOff>
    </xdr:from>
    <xdr:to>
      <xdr:col>10</xdr:col>
      <xdr:colOff>667482</xdr:colOff>
      <xdr:row>79</xdr:row>
      <xdr:rowOff>91587</xdr:rowOff>
    </xdr:to>
    <xdr:pic>
      <xdr:nvPicPr>
        <xdr:cNvPr id="12" name="Imagen 11" descr="Como afecta la altura a los compresores">
          <a:extLst>
            <a:ext uri="{FF2B5EF4-FFF2-40B4-BE49-F238E27FC236}">
              <a16:creationId xmlns:a16="http://schemas.microsoft.com/office/drawing/2014/main" id="{A5D85EC0-4E82-42B0-911A-58D7931D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582" y="13054366"/>
          <a:ext cx="3876675" cy="2258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426635</xdr:colOff>
      <xdr:row>67</xdr:row>
      <xdr:rowOff>73270</xdr:rowOff>
    </xdr:from>
    <xdr:to>
      <xdr:col>5</xdr:col>
      <xdr:colOff>381001</xdr:colOff>
      <xdr:row>80</xdr:row>
      <xdr:rowOff>80792</xdr:rowOff>
    </xdr:to>
    <xdr:pic>
      <xdr:nvPicPr>
        <xdr:cNvPr id="13" name="Imagen 12" descr="MeM 005 Aerodinamica">
          <a:extLst>
            <a:ext uri="{FF2B5EF4-FFF2-40B4-BE49-F238E27FC236}">
              <a16:creationId xmlns:a16="http://schemas.microsoft.com/office/drawing/2014/main" id="{21FBA983-3E8F-470F-B1B5-F327E40C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635" y="10436470"/>
          <a:ext cx="3764366" cy="248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136071</xdr:colOff>
      <xdr:row>22</xdr:row>
      <xdr:rowOff>23813</xdr:rowOff>
    </xdr:from>
    <xdr:to>
      <xdr:col>23</xdr:col>
      <xdr:colOff>391387</xdr:colOff>
      <xdr:row>74</xdr:row>
      <xdr:rowOff>11476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3936672-5032-4AAB-A9CB-913C93A43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18071" y="4298157"/>
          <a:ext cx="10947129" cy="10255613"/>
        </a:xfrm>
        <a:prstGeom prst="rect">
          <a:avLst/>
        </a:prstGeom>
      </xdr:spPr>
    </xdr:pic>
    <xdr:clientData/>
  </xdr:twoCellAnchor>
  <xdr:twoCellAnchor>
    <xdr:from>
      <xdr:col>12</xdr:col>
      <xdr:colOff>55790</xdr:colOff>
      <xdr:row>56</xdr:row>
      <xdr:rowOff>74839</xdr:rowOff>
    </xdr:from>
    <xdr:to>
      <xdr:col>21</xdr:col>
      <xdr:colOff>148318</xdr:colOff>
      <xdr:row>56</xdr:row>
      <xdr:rowOff>102054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6AF600D6-468F-4476-A47B-3F3CF1464335}"/>
            </a:ext>
          </a:extLst>
        </xdr:cNvPr>
        <xdr:cNvCxnSpPr/>
      </xdr:nvCxnSpPr>
      <xdr:spPr>
        <a:xfrm flipV="1">
          <a:off x="10390415" y="11076214"/>
          <a:ext cx="7417253" cy="27215"/>
        </a:xfrm>
        <a:prstGeom prst="line">
          <a:avLst/>
        </a:prstGeom>
        <a:ln w="28575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544285</xdr:colOff>
      <xdr:row>30</xdr:row>
      <xdr:rowOff>40822</xdr:rowOff>
    </xdr:from>
    <xdr:to>
      <xdr:col>14</xdr:col>
      <xdr:colOff>557892</xdr:colOff>
      <xdr:row>75</xdr:row>
      <xdr:rowOff>122464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D14088B1-E084-4AFB-A83A-93EDAB654260}"/>
            </a:ext>
          </a:extLst>
        </xdr:cNvPr>
        <xdr:cNvCxnSpPr/>
      </xdr:nvCxnSpPr>
      <xdr:spPr>
        <a:xfrm>
          <a:off x="12763499" y="5891893"/>
          <a:ext cx="13607" cy="7415892"/>
        </a:xfrm>
        <a:prstGeom prst="line">
          <a:avLst/>
        </a:prstGeom>
        <a:ln w="28575"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B13F-5F26-4B90-A507-4BBECBC2E79F}">
  <dimension ref="A2:I49"/>
  <sheetViews>
    <sheetView showGridLines="0" tabSelected="1" zoomScale="110" zoomScaleNormal="110" workbookViewId="0">
      <selection activeCell="L15" sqref="L15"/>
    </sheetView>
  </sheetViews>
  <sheetFormatPr baseColWidth="10" defaultRowHeight="15" x14ac:dyDescent="0.25"/>
  <cols>
    <col min="1" max="1" width="11.42578125" style="8"/>
    <col min="2" max="2" width="24.5703125" style="8" customWidth="1"/>
    <col min="3" max="4" width="16.5703125" style="8" customWidth="1"/>
    <col min="5" max="5" width="19" style="8" customWidth="1"/>
    <col min="6" max="6" width="21" style="8" customWidth="1"/>
    <col min="7" max="7" width="12.28515625" style="23" customWidth="1"/>
    <col min="8" max="8" width="13.85546875" style="23" customWidth="1"/>
    <col min="9" max="9" width="14.28515625" style="23" customWidth="1"/>
  </cols>
  <sheetData>
    <row r="2" spans="1:9" ht="31.5" x14ac:dyDescent="0.25">
      <c r="A2" s="29" t="s">
        <v>55</v>
      </c>
      <c r="B2" s="29" t="s">
        <v>58</v>
      </c>
      <c r="C2" s="29" t="s">
        <v>62</v>
      </c>
      <c r="D2" s="29" t="s">
        <v>64</v>
      </c>
      <c r="E2" s="29" t="s">
        <v>66</v>
      </c>
      <c r="F2" s="29" t="s">
        <v>63</v>
      </c>
      <c r="G2" s="30" t="s">
        <v>56</v>
      </c>
      <c r="H2" s="30" t="s">
        <v>69</v>
      </c>
      <c r="I2" s="30" t="s">
        <v>57</v>
      </c>
    </row>
    <row r="3" spans="1:9" ht="15.75" x14ac:dyDescent="0.25">
      <c r="A3" s="31">
        <v>1</v>
      </c>
      <c r="B3" s="31" t="s">
        <v>59</v>
      </c>
      <c r="C3" s="31">
        <v>0</v>
      </c>
      <c r="D3" s="31">
        <v>0</v>
      </c>
      <c r="E3" s="31">
        <v>0</v>
      </c>
      <c r="F3" s="31">
        <v>0</v>
      </c>
      <c r="G3" s="32">
        <v>0</v>
      </c>
      <c r="H3" s="32">
        <v>0</v>
      </c>
      <c r="I3" s="33">
        <f>7*0.45</f>
        <v>3.15</v>
      </c>
    </row>
    <row r="4" spans="1:9" ht="15.75" x14ac:dyDescent="0.25">
      <c r="A4" s="31">
        <f>A3+1</f>
        <v>2</v>
      </c>
      <c r="B4" s="31" t="s">
        <v>61</v>
      </c>
      <c r="C4" s="31">
        <v>2</v>
      </c>
      <c r="D4" s="31" t="s">
        <v>65</v>
      </c>
      <c r="E4" s="31">
        <v>360</v>
      </c>
      <c r="F4" s="31">
        <v>20</v>
      </c>
      <c r="G4" s="32">
        <v>1</v>
      </c>
      <c r="H4" s="32">
        <v>19</v>
      </c>
      <c r="I4" s="33">
        <f>G4/H4*60</f>
        <v>3.1578947368421053</v>
      </c>
    </row>
    <row r="5" spans="1:9" ht="15.75" x14ac:dyDescent="0.25">
      <c r="A5" s="31">
        <f t="shared" ref="A5:A16" si="0">A4+1</f>
        <v>3</v>
      </c>
      <c r="B5" s="31" t="s">
        <v>61</v>
      </c>
      <c r="C5" s="31">
        <v>10</v>
      </c>
      <c r="D5" s="31" t="s">
        <v>65</v>
      </c>
      <c r="E5" s="31">
        <v>360</v>
      </c>
      <c r="F5" s="31">
        <v>20</v>
      </c>
      <c r="G5" s="32">
        <v>0.5</v>
      </c>
      <c r="H5" s="32">
        <v>5</v>
      </c>
      <c r="I5" s="33">
        <f t="shared" ref="I5:I16" si="1">G5/H5*60</f>
        <v>6</v>
      </c>
    </row>
    <row r="6" spans="1:9" ht="15.75" x14ac:dyDescent="0.25">
      <c r="A6" s="31">
        <f t="shared" si="0"/>
        <v>4</v>
      </c>
      <c r="B6" s="31" t="s">
        <v>61</v>
      </c>
      <c r="C6" s="31">
        <v>5</v>
      </c>
      <c r="D6" s="31" t="s">
        <v>32</v>
      </c>
      <c r="E6" s="31">
        <v>360</v>
      </c>
      <c r="F6" s="31">
        <v>35</v>
      </c>
      <c r="G6" s="32">
        <v>3</v>
      </c>
      <c r="H6" s="32">
        <v>30</v>
      </c>
      <c r="I6" s="33">
        <f t="shared" si="1"/>
        <v>6</v>
      </c>
    </row>
    <row r="7" spans="1:9" ht="15.75" x14ac:dyDescent="0.25">
      <c r="A7" s="31">
        <f t="shared" si="0"/>
        <v>5</v>
      </c>
      <c r="B7" s="31" t="s">
        <v>61</v>
      </c>
      <c r="C7" s="31">
        <v>2</v>
      </c>
      <c r="D7" s="31" t="s">
        <v>65</v>
      </c>
      <c r="E7" s="31">
        <v>360</v>
      </c>
      <c r="F7" s="31">
        <v>35</v>
      </c>
      <c r="G7" s="32">
        <v>1</v>
      </c>
      <c r="H7" s="32">
        <v>15</v>
      </c>
      <c r="I7" s="33">
        <f t="shared" si="1"/>
        <v>4</v>
      </c>
    </row>
    <row r="8" spans="1:9" ht="15.75" x14ac:dyDescent="0.25">
      <c r="A8" s="31">
        <f t="shared" si="0"/>
        <v>6</v>
      </c>
      <c r="B8" s="31" t="s">
        <v>61</v>
      </c>
      <c r="C8" s="31">
        <v>10</v>
      </c>
      <c r="D8" s="31" t="s">
        <v>32</v>
      </c>
      <c r="E8" s="31">
        <v>360</v>
      </c>
      <c r="F8" s="31">
        <v>35</v>
      </c>
      <c r="G8" s="32">
        <v>1</v>
      </c>
      <c r="H8" s="32">
        <v>28</v>
      </c>
      <c r="I8" s="33">
        <f t="shared" si="1"/>
        <v>2.1428571428571428</v>
      </c>
    </row>
    <row r="9" spans="1:9" ht="15.75" x14ac:dyDescent="0.25">
      <c r="A9" s="31">
        <f t="shared" si="0"/>
        <v>7</v>
      </c>
      <c r="B9" s="31" t="s">
        <v>61</v>
      </c>
      <c r="C9" s="31">
        <v>1</v>
      </c>
      <c r="D9" s="31" t="s">
        <v>65</v>
      </c>
      <c r="E9" s="31">
        <v>360</v>
      </c>
      <c r="F9" s="31">
        <v>35</v>
      </c>
      <c r="G9" s="32">
        <v>0.5</v>
      </c>
      <c r="H9" s="32">
        <v>20</v>
      </c>
      <c r="I9" s="33">
        <f t="shared" si="1"/>
        <v>1.5</v>
      </c>
    </row>
    <row r="10" spans="1:9" ht="15.75" x14ac:dyDescent="0.25">
      <c r="A10" s="31">
        <f t="shared" si="0"/>
        <v>8</v>
      </c>
      <c r="B10" s="31" t="s">
        <v>60</v>
      </c>
      <c r="C10" s="31">
        <v>0</v>
      </c>
      <c r="D10" s="31">
        <v>0</v>
      </c>
      <c r="E10" s="31">
        <v>360</v>
      </c>
      <c r="F10" s="31">
        <v>0</v>
      </c>
      <c r="G10" s="32">
        <v>0</v>
      </c>
      <c r="H10" s="32">
        <v>0</v>
      </c>
      <c r="I10" s="33">
        <v>2</v>
      </c>
    </row>
    <row r="11" spans="1:9" ht="15.75" x14ac:dyDescent="0.25">
      <c r="A11" s="31">
        <f t="shared" si="0"/>
        <v>9</v>
      </c>
      <c r="B11" s="31" t="s">
        <v>61</v>
      </c>
      <c r="C11" s="31">
        <v>1</v>
      </c>
      <c r="D11" s="31" t="s">
        <v>32</v>
      </c>
      <c r="E11" s="31">
        <v>0</v>
      </c>
      <c r="F11" s="31">
        <v>35</v>
      </c>
      <c r="G11" s="32">
        <v>0.5</v>
      </c>
      <c r="H11" s="32">
        <v>30</v>
      </c>
      <c r="I11" s="33">
        <f t="shared" si="1"/>
        <v>1</v>
      </c>
    </row>
    <row r="12" spans="1:9" ht="15.75" x14ac:dyDescent="0.25">
      <c r="A12" s="31">
        <f t="shared" si="0"/>
        <v>10</v>
      </c>
      <c r="B12" s="31" t="s">
        <v>61</v>
      </c>
      <c r="C12" s="31">
        <v>10</v>
      </c>
      <c r="D12" s="31" t="s">
        <v>65</v>
      </c>
      <c r="E12" s="31">
        <v>0</v>
      </c>
      <c r="F12" s="31">
        <v>35</v>
      </c>
      <c r="G12" s="32">
        <v>1</v>
      </c>
      <c r="H12" s="32">
        <v>12</v>
      </c>
      <c r="I12" s="33">
        <f t="shared" si="1"/>
        <v>5</v>
      </c>
    </row>
    <row r="13" spans="1:9" ht="15.75" x14ac:dyDescent="0.25">
      <c r="A13" s="31">
        <f t="shared" si="0"/>
        <v>11</v>
      </c>
      <c r="B13" s="31" t="s">
        <v>61</v>
      </c>
      <c r="C13" s="31">
        <v>2</v>
      </c>
      <c r="D13" s="31" t="s">
        <v>32</v>
      </c>
      <c r="E13" s="31">
        <v>0</v>
      </c>
      <c r="F13" s="31">
        <v>35</v>
      </c>
      <c r="G13" s="32">
        <v>1</v>
      </c>
      <c r="H13" s="32">
        <v>30</v>
      </c>
      <c r="I13" s="33">
        <f t="shared" si="1"/>
        <v>2</v>
      </c>
    </row>
    <row r="14" spans="1:9" ht="15.75" x14ac:dyDescent="0.25">
      <c r="A14" s="31">
        <f t="shared" si="0"/>
        <v>12</v>
      </c>
      <c r="B14" s="31" t="s">
        <v>61</v>
      </c>
      <c r="C14" s="31">
        <v>5</v>
      </c>
      <c r="D14" s="31" t="s">
        <v>65</v>
      </c>
      <c r="E14" s="31">
        <v>0</v>
      </c>
      <c r="F14" s="31">
        <v>35</v>
      </c>
      <c r="G14" s="32">
        <v>3</v>
      </c>
      <c r="H14" s="32">
        <v>20</v>
      </c>
      <c r="I14" s="33">
        <f t="shared" si="1"/>
        <v>9</v>
      </c>
    </row>
    <row r="15" spans="1:9" ht="15.75" x14ac:dyDescent="0.25">
      <c r="A15" s="31">
        <f t="shared" si="0"/>
        <v>13</v>
      </c>
      <c r="B15" s="31" t="s">
        <v>61</v>
      </c>
      <c r="C15" s="31">
        <v>10</v>
      </c>
      <c r="D15" s="31" t="s">
        <v>32</v>
      </c>
      <c r="E15" s="31">
        <v>0</v>
      </c>
      <c r="F15" s="31">
        <v>20</v>
      </c>
      <c r="G15" s="32">
        <v>0.5</v>
      </c>
      <c r="H15" s="32">
        <v>30</v>
      </c>
      <c r="I15" s="33">
        <f t="shared" si="1"/>
        <v>1</v>
      </c>
    </row>
    <row r="16" spans="1:9" ht="15.75" x14ac:dyDescent="0.25">
      <c r="A16" s="31">
        <f t="shared" si="0"/>
        <v>14</v>
      </c>
      <c r="B16" s="31" t="s">
        <v>61</v>
      </c>
      <c r="C16" s="31">
        <v>2</v>
      </c>
      <c r="D16" s="31" t="s">
        <v>32</v>
      </c>
      <c r="E16" s="31">
        <v>0</v>
      </c>
      <c r="F16" s="31">
        <v>20</v>
      </c>
      <c r="G16" s="32">
        <v>1</v>
      </c>
      <c r="H16" s="32">
        <v>30</v>
      </c>
      <c r="I16" s="33">
        <f t="shared" si="1"/>
        <v>2</v>
      </c>
    </row>
    <row r="17" spans="1:9" ht="15.75" x14ac:dyDescent="0.25">
      <c r="A17" s="34"/>
      <c r="B17" s="34"/>
      <c r="C17" s="34"/>
      <c r="D17" s="34"/>
      <c r="E17" s="34"/>
      <c r="F17" s="35" t="s">
        <v>67</v>
      </c>
      <c r="G17" s="36">
        <f>SUM(G3:G16)</f>
        <v>14</v>
      </c>
      <c r="H17" s="35"/>
      <c r="I17" s="36">
        <f>SUM(I3:I16)</f>
        <v>47.950751879699247</v>
      </c>
    </row>
    <row r="18" spans="1:9" ht="15.75" x14ac:dyDescent="0.25">
      <c r="A18" s="34"/>
      <c r="B18" s="34"/>
      <c r="C18" s="34"/>
      <c r="D18" s="34"/>
      <c r="E18" s="34"/>
      <c r="F18" s="34"/>
      <c r="G18" s="37"/>
      <c r="H18" s="37"/>
      <c r="I18" s="37"/>
    </row>
    <row r="19" spans="1:9" ht="15.75" x14ac:dyDescent="0.25">
      <c r="A19" s="34"/>
      <c r="B19" s="45" t="s">
        <v>68</v>
      </c>
      <c r="C19" s="45"/>
      <c r="D19" s="45"/>
      <c r="E19" s="34"/>
      <c r="F19" s="34"/>
      <c r="G19" s="37"/>
      <c r="H19" s="37"/>
      <c r="I19" s="37"/>
    </row>
    <row r="20" spans="1:9" ht="15.75" x14ac:dyDescent="0.25">
      <c r="A20" s="34"/>
      <c r="B20" s="34"/>
      <c r="C20" s="34"/>
      <c r="D20" s="34"/>
      <c r="E20" s="34"/>
      <c r="F20" s="34"/>
      <c r="G20" s="37"/>
      <c r="H20" s="37"/>
      <c r="I20" s="37"/>
    </row>
    <row r="21" spans="1:9" ht="15.75" x14ac:dyDescent="0.25">
      <c r="A21" s="34"/>
      <c r="E21" s="38"/>
      <c r="F21" s="34"/>
      <c r="G21" s="37"/>
      <c r="H21" s="37"/>
      <c r="I21" s="37"/>
    </row>
    <row r="22" spans="1:9" ht="15.75" x14ac:dyDescent="0.25">
      <c r="B22" s="39" t="s">
        <v>82</v>
      </c>
      <c r="C22" s="40">
        <v>27.81</v>
      </c>
      <c r="D22" s="41" t="s">
        <v>81</v>
      </c>
    </row>
    <row r="23" spans="1:9" ht="15.75" x14ac:dyDescent="0.25">
      <c r="B23" s="39" t="s">
        <v>76</v>
      </c>
      <c r="C23" s="40">
        <v>7</v>
      </c>
      <c r="D23" s="41"/>
    </row>
    <row r="24" spans="1:9" ht="15.75" x14ac:dyDescent="0.25">
      <c r="B24" s="39" t="s">
        <v>77</v>
      </c>
      <c r="C24" s="40">
        <f>45/60</f>
        <v>0.75</v>
      </c>
      <c r="D24" s="41" t="s">
        <v>75</v>
      </c>
    </row>
    <row r="25" spans="1:9" ht="15.75" x14ac:dyDescent="0.25">
      <c r="B25" s="39" t="s">
        <v>78</v>
      </c>
      <c r="C25" s="40">
        <v>1.8</v>
      </c>
      <c r="D25" s="41" t="s">
        <v>79</v>
      </c>
    </row>
    <row r="26" spans="1:9" ht="15.75" x14ac:dyDescent="0.25">
      <c r="B26" s="39" t="s">
        <v>70</v>
      </c>
      <c r="C26" s="40">
        <f>(C25*C22)*C23*C24</f>
        <v>262.80450000000002</v>
      </c>
      <c r="D26" s="41" t="s">
        <v>16</v>
      </c>
    </row>
    <row r="27" spans="1:9" ht="15.75" x14ac:dyDescent="0.25">
      <c r="B27" s="39" t="s">
        <v>71</v>
      </c>
      <c r="C27" s="42">
        <v>0.45</v>
      </c>
      <c r="D27" s="41"/>
    </row>
    <row r="28" spans="1:9" ht="15.75" x14ac:dyDescent="0.25">
      <c r="B28" s="39" t="s">
        <v>72</v>
      </c>
      <c r="C28" s="40">
        <f>I17</f>
        <v>47.950751879699247</v>
      </c>
      <c r="D28" s="41" t="s">
        <v>75</v>
      </c>
    </row>
    <row r="29" spans="1:9" ht="15.75" x14ac:dyDescent="0.25">
      <c r="B29" s="39" t="s">
        <v>83</v>
      </c>
      <c r="C29" s="43">
        <f>C26*C27*(60/C28)</f>
        <v>147.97935844263776</v>
      </c>
      <c r="D29" s="44" t="s">
        <v>80</v>
      </c>
    </row>
    <row r="32" spans="1:9" ht="15.75" x14ac:dyDescent="0.25">
      <c r="B32" s="46" t="s">
        <v>73</v>
      </c>
      <c r="C32" s="46"/>
      <c r="D32" s="46"/>
    </row>
    <row r="49" spans="2:4" ht="15.75" x14ac:dyDescent="0.25">
      <c r="B49" s="46" t="s">
        <v>74</v>
      </c>
      <c r="C49" s="46"/>
      <c r="D49" s="46"/>
    </row>
  </sheetData>
  <mergeCells count="3">
    <mergeCell ref="B19:D19"/>
    <mergeCell ref="B32:D32"/>
    <mergeCell ref="B49:D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0C9B-14D5-4277-9556-ED7AD7F03D5F}">
  <dimension ref="B2:U56"/>
  <sheetViews>
    <sheetView showGridLines="0" topLeftCell="A33" zoomScale="90" zoomScaleNormal="90" workbookViewId="0">
      <selection activeCell="K34" sqref="K34"/>
    </sheetView>
  </sheetViews>
  <sheetFormatPr baseColWidth="10" defaultRowHeight="15" x14ac:dyDescent="0.25"/>
  <cols>
    <col min="2" max="3" width="11.42578125" customWidth="1"/>
    <col min="12" max="12" width="27.7109375" customWidth="1"/>
    <col min="13" max="13" width="18.42578125" customWidth="1"/>
  </cols>
  <sheetData>
    <row r="2" spans="12:21" ht="15.75" x14ac:dyDescent="0.25">
      <c r="L2" s="3" t="s">
        <v>0</v>
      </c>
      <c r="M2" s="4" t="s">
        <v>1</v>
      </c>
    </row>
    <row r="3" spans="12:21" ht="15.75" x14ac:dyDescent="0.25">
      <c r="L3" s="1" t="s">
        <v>3</v>
      </c>
      <c r="M3" s="2" t="s">
        <v>4</v>
      </c>
    </row>
    <row r="4" spans="12:21" ht="15.75" x14ac:dyDescent="0.25">
      <c r="L4" s="5" t="s">
        <v>2</v>
      </c>
      <c r="M4" s="6" t="s">
        <v>10</v>
      </c>
    </row>
    <row r="5" spans="12:21" ht="15.75" x14ac:dyDescent="0.25">
      <c r="L5" s="1" t="s">
        <v>7</v>
      </c>
      <c r="M5" s="2">
        <v>628</v>
      </c>
    </row>
    <row r="6" spans="12:21" ht="15.75" x14ac:dyDescent="0.25">
      <c r="L6" s="1" t="s">
        <v>6</v>
      </c>
      <c r="M6" s="2">
        <f>M5-M7</f>
        <v>265</v>
      </c>
    </row>
    <row r="7" spans="12:21" ht="15.75" x14ac:dyDescent="0.25">
      <c r="L7" s="1" t="s">
        <v>5</v>
      </c>
      <c r="M7" s="2">
        <v>363</v>
      </c>
    </row>
    <row r="8" spans="12:21" ht="15.75" x14ac:dyDescent="0.25">
      <c r="L8" s="1" t="s">
        <v>9</v>
      </c>
      <c r="M8" s="7">
        <v>0.2</v>
      </c>
    </row>
    <row r="9" spans="12:21" x14ac:dyDescent="0.25">
      <c r="U9" t="s">
        <v>6</v>
      </c>
    </row>
    <row r="10" spans="12:21" ht="15" customHeight="1" x14ac:dyDescent="0.25">
      <c r="L10" s="64" t="s">
        <v>8</v>
      </c>
      <c r="M10" s="64"/>
      <c r="N10" s="13"/>
      <c r="O10" s="13"/>
      <c r="P10" s="13"/>
      <c r="Q10" s="13"/>
      <c r="U10" t="s">
        <v>20</v>
      </c>
    </row>
    <row r="11" spans="12:21" ht="15" customHeight="1" x14ac:dyDescent="0.25">
      <c r="L11" s="64"/>
      <c r="M11" s="64"/>
      <c r="N11" s="13"/>
      <c r="O11" s="13"/>
      <c r="P11" s="13"/>
      <c r="Q11" s="13"/>
      <c r="U11" t="s">
        <v>14</v>
      </c>
    </row>
    <row r="12" spans="12:21" ht="15" customHeight="1" x14ac:dyDescent="0.25">
      <c r="L12" s="64"/>
      <c r="M12" s="64"/>
      <c r="U12" t="s">
        <v>15</v>
      </c>
    </row>
    <row r="13" spans="12:21" ht="15" customHeight="1" x14ac:dyDescent="0.25">
      <c r="L13" s="64"/>
      <c r="M13" s="64"/>
      <c r="U13" t="s">
        <v>21</v>
      </c>
    </row>
    <row r="14" spans="12:21" ht="15" customHeight="1" x14ac:dyDescent="0.25">
      <c r="L14" s="64"/>
      <c r="M14" s="64"/>
    </row>
    <row r="15" spans="12:21" ht="15" customHeight="1" x14ac:dyDescent="0.25">
      <c r="L15" s="64"/>
      <c r="M15" s="64"/>
    </row>
    <row r="16" spans="12:21" ht="15" customHeight="1" x14ac:dyDescent="0.25">
      <c r="L16" s="13"/>
      <c r="M16" s="13"/>
    </row>
    <row r="17" spans="2:13" ht="15" customHeight="1" x14ac:dyDescent="0.25">
      <c r="L17" s="13"/>
      <c r="M17" s="13"/>
    </row>
    <row r="25" spans="2:13" ht="15.75" x14ac:dyDescent="0.25">
      <c r="B25" s="56" t="s">
        <v>11</v>
      </c>
      <c r="C25" s="56"/>
      <c r="D25" s="56"/>
      <c r="E25" s="56"/>
      <c r="F25" s="9">
        <f>0.5*F26*F29*F30*(F31*0.277778)^2/1000</f>
        <v>0.72496782661379744</v>
      </c>
      <c r="G25" s="10" t="s">
        <v>19</v>
      </c>
    </row>
    <row r="26" spans="2:13" ht="15.75" x14ac:dyDescent="0.25">
      <c r="B26" s="57" t="s">
        <v>22</v>
      </c>
      <c r="C26" s="57"/>
      <c r="D26" s="57"/>
      <c r="E26" s="57"/>
      <c r="F26" s="15">
        <v>0.75</v>
      </c>
      <c r="G26" s="12"/>
    </row>
    <row r="27" spans="2:13" ht="15.75" x14ac:dyDescent="0.25">
      <c r="B27" s="58" t="s">
        <v>28</v>
      </c>
      <c r="C27" s="59"/>
      <c r="D27" s="59"/>
      <c r="E27" s="60"/>
      <c r="F27" s="15">
        <v>8</v>
      </c>
      <c r="G27" s="12" t="s">
        <v>30</v>
      </c>
    </row>
    <row r="28" spans="2:13" ht="15.75" x14ac:dyDescent="0.25">
      <c r="B28" s="58" t="s">
        <v>29</v>
      </c>
      <c r="C28" s="59"/>
      <c r="D28" s="59"/>
      <c r="E28" s="60"/>
      <c r="F28" s="15">
        <v>9.56</v>
      </c>
      <c r="G28" s="12" t="s">
        <v>30</v>
      </c>
    </row>
    <row r="29" spans="2:13" ht="15.75" x14ac:dyDescent="0.25">
      <c r="B29" s="57" t="s">
        <v>23</v>
      </c>
      <c r="C29" s="57"/>
      <c r="D29" s="57"/>
      <c r="E29" s="57"/>
      <c r="F29" s="15">
        <f>F27*F28</f>
        <v>76.48</v>
      </c>
      <c r="G29" s="12" t="s">
        <v>24</v>
      </c>
    </row>
    <row r="30" spans="2:13" ht="15.75" x14ac:dyDescent="0.25">
      <c r="B30" s="57" t="s">
        <v>21</v>
      </c>
      <c r="C30" s="57"/>
      <c r="D30" s="57"/>
      <c r="E30" s="57"/>
      <c r="F30" s="15">
        <v>0.81899999999999995</v>
      </c>
      <c r="G30" s="12" t="s">
        <v>26</v>
      </c>
    </row>
    <row r="31" spans="2:13" ht="15.75" x14ac:dyDescent="0.25">
      <c r="B31" s="57" t="s">
        <v>35</v>
      </c>
      <c r="C31" s="57"/>
      <c r="D31" s="57"/>
      <c r="E31" s="57"/>
      <c r="F31" s="15">
        <v>20</v>
      </c>
      <c r="G31" s="12" t="s">
        <v>25</v>
      </c>
    </row>
    <row r="33" spans="2:11" ht="15.75" x14ac:dyDescent="0.25">
      <c r="B33" s="56" t="s">
        <v>12</v>
      </c>
      <c r="C33" s="56"/>
      <c r="D33" s="56"/>
      <c r="E33" s="56"/>
      <c r="F33" s="9">
        <f>F36*SIN(F37*0.0174533)</f>
        <v>54.733829843530785</v>
      </c>
      <c r="G33" s="10" t="s">
        <v>19</v>
      </c>
    </row>
    <row r="34" spans="2:11" ht="15.75" x14ac:dyDescent="0.25">
      <c r="B34" s="57" t="s">
        <v>6</v>
      </c>
      <c r="C34" s="57"/>
      <c r="D34" s="57"/>
      <c r="E34" s="57"/>
      <c r="F34" s="11">
        <v>265</v>
      </c>
      <c r="G34" s="12" t="s">
        <v>16</v>
      </c>
    </row>
    <row r="35" spans="2:11" ht="15.75" x14ac:dyDescent="0.25">
      <c r="B35" s="57" t="s">
        <v>20</v>
      </c>
      <c r="C35" s="57"/>
      <c r="D35" s="57"/>
      <c r="E35" s="57"/>
      <c r="F35" s="11">
        <v>363</v>
      </c>
      <c r="G35" s="12" t="s">
        <v>16</v>
      </c>
    </row>
    <row r="36" spans="2:11" ht="15.75" x14ac:dyDescent="0.25">
      <c r="B36" s="58" t="s">
        <v>31</v>
      </c>
      <c r="C36" s="59"/>
      <c r="D36" s="59"/>
      <c r="E36" s="60"/>
      <c r="F36" s="11">
        <f>F34+F35</f>
        <v>628</v>
      </c>
      <c r="G36" s="12" t="s">
        <v>16</v>
      </c>
    </row>
    <row r="37" spans="2:11" ht="15.75" x14ac:dyDescent="0.25">
      <c r="B37" s="57" t="s">
        <v>14</v>
      </c>
      <c r="C37" s="57"/>
      <c r="D37" s="57"/>
      <c r="E37" s="57"/>
      <c r="F37" s="11">
        <v>5</v>
      </c>
      <c r="G37" s="12" t="s">
        <v>17</v>
      </c>
    </row>
    <row r="38" spans="2:11" ht="15.75" x14ac:dyDescent="0.25">
      <c r="B38" s="1"/>
      <c r="C38" s="1"/>
      <c r="D38" s="1"/>
      <c r="F38" s="1"/>
      <c r="G38" s="1"/>
    </row>
    <row r="39" spans="2:11" ht="15.75" x14ac:dyDescent="0.25">
      <c r="B39" s="56" t="s">
        <v>13</v>
      </c>
      <c r="C39" s="56"/>
      <c r="D39" s="56"/>
      <c r="E39" s="56"/>
      <c r="F39" s="9">
        <f>F42*COS(F43*0.0174533)*F44/1000</f>
        <v>21.896359392409455</v>
      </c>
      <c r="G39" s="10" t="s">
        <v>19</v>
      </c>
    </row>
    <row r="40" spans="2:11" ht="15.75" x14ac:dyDescent="0.25">
      <c r="B40" s="57" t="s">
        <v>6</v>
      </c>
      <c r="C40" s="57"/>
      <c r="D40" s="57"/>
      <c r="E40" s="57"/>
      <c r="F40" s="28">
        <f>F34</f>
        <v>265</v>
      </c>
      <c r="G40" s="12" t="s">
        <v>16</v>
      </c>
    </row>
    <row r="41" spans="2:11" ht="15.75" x14ac:dyDescent="0.25">
      <c r="B41" s="57" t="s">
        <v>20</v>
      </c>
      <c r="C41" s="57"/>
      <c r="D41" s="57"/>
      <c r="E41" s="57"/>
      <c r="F41" s="28">
        <f>F35</f>
        <v>363</v>
      </c>
      <c r="G41" s="12" t="s">
        <v>16</v>
      </c>
    </row>
    <row r="42" spans="2:11" ht="15.75" x14ac:dyDescent="0.25">
      <c r="B42" s="58" t="s">
        <v>31</v>
      </c>
      <c r="C42" s="59"/>
      <c r="D42" s="59"/>
      <c r="E42" s="60"/>
      <c r="F42" s="28">
        <f>F36</f>
        <v>628</v>
      </c>
      <c r="G42" s="12" t="s">
        <v>16</v>
      </c>
    </row>
    <row r="43" spans="2:11" ht="15.75" x14ac:dyDescent="0.25">
      <c r="B43" s="57" t="s">
        <v>14</v>
      </c>
      <c r="C43" s="57"/>
      <c r="D43" s="57"/>
      <c r="E43" s="57"/>
      <c r="F43" s="28">
        <f>F37</f>
        <v>5</v>
      </c>
      <c r="G43" s="12" t="s">
        <v>17</v>
      </c>
    </row>
    <row r="44" spans="2:11" ht="15.75" x14ac:dyDescent="0.25">
      <c r="B44" s="57" t="s">
        <v>15</v>
      </c>
      <c r="C44" s="57"/>
      <c r="D44" s="57"/>
      <c r="E44" s="57"/>
      <c r="F44" s="11">
        <v>35</v>
      </c>
      <c r="G44" s="12" t="s">
        <v>18</v>
      </c>
    </row>
    <row r="45" spans="2:11" ht="15.75" x14ac:dyDescent="0.25">
      <c r="B45" s="16"/>
      <c r="C45" s="16"/>
      <c r="D45" s="16"/>
      <c r="E45" s="16"/>
      <c r="G45" s="2"/>
    </row>
    <row r="46" spans="2:11" ht="15.75" customHeight="1" x14ac:dyDescent="0.25">
      <c r="B46" s="56" t="s">
        <v>40</v>
      </c>
      <c r="C46" s="56"/>
      <c r="D46" s="56"/>
      <c r="E46" s="56"/>
      <c r="F46" s="17">
        <f>F25+F33+F39</f>
        <v>77.355157062554042</v>
      </c>
      <c r="G46" s="18" t="s">
        <v>19</v>
      </c>
      <c r="I46" s="47" t="s">
        <v>34</v>
      </c>
      <c r="J46" s="48"/>
      <c r="K46" s="49"/>
    </row>
    <row r="47" spans="2:11" ht="15.75" x14ac:dyDescent="0.25">
      <c r="B47" s="56" t="s">
        <v>52</v>
      </c>
      <c r="C47" s="56"/>
      <c r="D47" s="56"/>
      <c r="E47" s="56"/>
      <c r="F47" s="19">
        <f>F46*1000*F31/273.75</f>
        <v>5651.5183242048615</v>
      </c>
      <c r="G47" s="18" t="s">
        <v>33</v>
      </c>
      <c r="H47" s="21"/>
      <c r="I47" s="50"/>
      <c r="J47" s="51"/>
      <c r="K47" s="52"/>
    </row>
    <row r="48" spans="2:11" ht="15.75" x14ac:dyDescent="0.25">
      <c r="B48" s="61" t="s">
        <v>37</v>
      </c>
      <c r="C48" s="62"/>
      <c r="D48" s="62"/>
      <c r="E48" s="63"/>
      <c r="F48" s="19">
        <v>2610</v>
      </c>
      <c r="G48" s="18" t="s">
        <v>33</v>
      </c>
      <c r="I48" s="50"/>
      <c r="J48" s="51"/>
      <c r="K48" s="52"/>
    </row>
    <row r="49" spans="2:11" ht="15.75" x14ac:dyDescent="0.25">
      <c r="B49" s="56" t="s">
        <v>41</v>
      </c>
      <c r="C49" s="56"/>
      <c r="D49" s="56"/>
      <c r="E49" s="56"/>
      <c r="F49" s="24">
        <f>F47/F48</f>
        <v>2.1653326912662303</v>
      </c>
      <c r="G49" s="25" t="s">
        <v>33</v>
      </c>
      <c r="H49" s="22"/>
      <c r="I49" s="50"/>
      <c r="J49" s="51"/>
      <c r="K49" s="52"/>
    </row>
    <row r="50" spans="2:11" ht="15" customHeight="1" x14ac:dyDescent="0.25">
      <c r="I50" s="50"/>
      <c r="J50" s="51"/>
      <c r="K50" s="52"/>
    </row>
    <row r="51" spans="2:11" ht="15" customHeight="1" x14ac:dyDescent="0.25">
      <c r="B51" s="14" t="s">
        <v>27</v>
      </c>
      <c r="I51" s="50"/>
      <c r="J51" s="51"/>
      <c r="K51" s="52"/>
    </row>
    <row r="52" spans="2:11" ht="15" customHeight="1" x14ac:dyDescent="0.25">
      <c r="I52" s="53"/>
      <c r="J52" s="54"/>
      <c r="K52" s="55"/>
    </row>
    <row r="56" spans="2:11" x14ac:dyDescent="0.25">
      <c r="B56" s="14" t="s">
        <v>22</v>
      </c>
      <c r="G56" s="14" t="s">
        <v>21</v>
      </c>
    </row>
  </sheetData>
  <mergeCells count="24">
    <mergeCell ref="B33:E33"/>
    <mergeCell ref="B34:E34"/>
    <mergeCell ref="L10:M15"/>
    <mergeCell ref="B35:E35"/>
    <mergeCell ref="B37:E37"/>
    <mergeCell ref="B31:E31"/>
    <mergeCell ref="B28:E28"/>
    <mergeCell ref="B27:E27"/>
    <mergeCell ref="B25:E25"/>
    <mergeCell ref="B26:E26"/>
    <mergeCell ref="B29:E29"/>
    <mergeCell ref="B30:E30"/>
    <mergeCell ref="B39:E39"/>
    <mergeCell ref="B40:E40"/>
    <mergeCell ref="B46:E46"/>
    <mergeCell ref="B36:E36"/>
    <mergeCell ref="B42:E42"/>
    <mergeCell ref="I46:K52"/>
    <mergeCell ref="B49:E49"/>
    <mergeCell ref="B41:E41"/>
    <mergeCell ref="B43:E43"/>
    <mergeCell ref="B44:E44"/>
    <mergeCell ref="B47:E47"/>
    <mergeCell ref="B48:E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17CA-1799-47FE-826E-676E2D76B82F}">
  <dimension ref="B5:Q67"/>
  <sheetViews>
    <sheetView showGridLines="0" topLeftCell="A26" zoomScaleNormal="100" workbookViewId="0">
      <selection activeCell="K40" sqref="K40"/>
    </sheetView>
  </sheetViews>
  <sheetFormatPr baseColWidth="10" defaultRowHeight="15" x14ac:dyDescent="0.25"/>
  <cols>
    <col min="2" max="3" width="11.42578125" customWidth="1"/>
    <col min="9" max="9" width="13" bestFit="1" customWidth="1"/>
    <col min="12" max="12" width="27.7109375" customWidth="1"/>
    <col min="13" max="13" width="18.42578125" customWidth="1"/>
  </cols>
  <sheetData>
    <row r="5" spans="12:17" ht="15.75" x14ac:dyDescent="0.25">
      <c r="L5" s="3" t="s">
        <v>0</v>
      </c>
      <c r="M5" s="4" t="s">
        <v>1</v>
      </c>
    </row>
    <row r="6" spans="12:17" ht="15.75" x14ac:dyDescent="0.25">
      <c r="L6" s="1" t="s">
        <v>3</v>
      </c>
      <c r="M6" s="2" t="s">
        <v>4</v>
      </c>
    </row>
    <row r="7" spans="12:17" ht="15.75" x14ac:dyDescent="0.25">
      <c r="L7" s="5" t="s">
        <v>2</v>
      </c>
      <c r="M7" s="6" t="s">
        <v>10</v>
      </c>
    </row>
    <row r="8" spans="12:17" ht="15.75" x14ac:dyDescent="0.25">
      <c r="L8" s="1" t="s">
        <v>7</v>
      </c>
      <c r="M8" s="2">
        <v>628</v>
      </c>
    </row>
    <row r="9" spans="12:17" ht="15.75" x14ac:dyDescent="0.25">
      <c r="L9" s="1" t="s">
        <v>6</v>
      </c>
      <c r="M9" s="2">
        <f>M8-M10</f>
        <v>265</v>
      </c>
    </row>
    <row r="10" spans="12:17" ht="15.75" x14ac:dyDescent="0.25">
      <c r="L10" s="1" t="s">
        <v>5</v>
      </c>
      <c r="M10" s="2">
        <v>363</v>
      </c>
    </row>
    <row r="11" spans="12:17" ht="15.75" x14ac:dyDescent="0.25">
      <c r="L11" s="1" t="s">
        <v>9</v>
      </c>
      <c r="M11" s="7">
        <v>0.2</v>
      </c>
    </row>
    <row r="13" spans="12:17" ht="15" customHeight="1" x14ac:dyDescent="0.25">
      <c r="L13" s="64" t="s">
        <v>8</v>
      </c>
      <c r="M13" s="64"/>
      <c r="N13" s="13"/>
      <c r="O13" s="13"/>
      <c r="P13" s="13"/>
      <c r="Q13" s="13"/>
    </row>
    <row r="14" spans="12:17" ht="15" customHeight="1" x14ac:dyDescent="0.25">
      <c r="L14" s="64"/>
      <c r="M14" s="64"/>
      <c r="N14" s="13"/>
      <c r="O14" s="13"/>
      <c r="P14" s="13"/>
      <c r="Q14" s="13"/>
    </row>
    <row r="15" spans="12:17" ht="15" customHeight="1" x14ac:dyDescent="0.25">
      <c r="L15" s="64"/>
      <c r="M15" s="64"/>
    </row>
    <row r="16" spans="12:17" ht="15" customHeight="1" x14ac:dyDescent="0.25">
      <c r="L16" s="64"/>
      <c r="M16" s="64"/>
    </row>
    <row r="17" spans="2:13" ht="15" customHeight="1" x14ac:dyDescent="0.25">
      <c r="L17" s="64"/>
      <c r="M17" s="64"/>
    </row>
    <row r="18" spans="2:13" ht="15" customHeight="1" x14ac:dyDescent="0.25">
      <c r="L18" s="64"/>
      <c r="M18" s="64"/>
    </row>
    <row r="19" spans="2:13" ht="15" customHeight="1" x14ac:dyDescent="0.25">
      <c r="L19" s="13"/>
      <c r="M19" s="13"/>
    </row>
    <row r="20" spans="2:13" ht="15" customHeight="1" x14ac:dyDescent="0.25">
      <c r="L20" s="13"/>
      <c r="M20" s="13"/>
    </row>
    <row r="28" spans="2:13" ht="15.75" x14ac:dyDescent="0.25">
      <c r="B28" s="56" t="s">
        <v>11</v>
      </c>
      <c r="C28" s="56"/>
      <c r="D28" s="56"/>
      <c r="E28" s="56"/>
      <c r="F28" s="9">
        <f>0.5*F29*F32*F33*(F34*0.277778)^2/1000</f>
        <v>1.6311776098810442</v>
      </c>
      <c r="G28" s="10" t="s">
        <v>19</v>
      </c>
    </row>
    <row r="29" spans="2:13" ht="15.75" x14ac:dyDescent="0.25">
      <c r="B29" s="57" t="s">
        <v>22</v>
      </c>
      <c r="C29" s="57"/>
      <c r="D29" s="57"/>
      <c r="E29" s="57"/>
      <c r="F29" s="15">
        <v>0.75</v>
      </c>
      <c r="G29" s="12"/>
    </row>
    <row r="30" spans="2:13" ht="15.75" x14ac:dyDescent="0.25">
      <c r="B30" s="58" t="s">
        <v>28</v>
      </c>
      <c r="C30" s="59"/>
      <c r="D30" s="59"/>
      <c r="E30" s="60"/>
      <c r="F30" s="15">
        <v>8</v>
      </c>
      <c r="G30" s="12" t="s">
        <v>30</v>
      </c>
    </row>
    <row r="31" spans="2:13" ht="15.75" x14ac:dyDescent="0.25">
      <c r="B31" s="58" t="s">
        <v>29</v>
      </c>
      <c r="C31" s="59"/>
      <c r="D31" s="59"/>
      <c r="E31" s="60"/>
      <c r="F31" s="15">
        <v>9.56</v>
      </c>
      <c r="G31" s="12" t="s">
        <v>30</v>
      </c>
    </row>
    <row r="32" spans="2:13" ht="15.75" x14ac:dyDescent="0.25">
      <c r="B32" s="57" t="s">
        <v>23</v>
      </c>
      <c r="C32" s="57"/>
      <c r="D32" s="57"/>
      <c r="E32" s="57"/>
      <c r="F32" s="15">
        <f>F30*F31</f>
        <v>76.48</v>
      </c>
      <c r="G32" s="12" t="s">
        <v>24</v>
      </c>
    </row>
    <row r="33" spans="2:7" ht="15.75" x14ac:dyDescent="0.25">
      <c r="B33" s="57" t="s">
        <v>21</v>
      </c>
      <c r="C33" s="57"/>
      <c r="D33" s="57"/>
      <c r="E33" s="57"/>
      <c r="F33" s="15">
        <v>0.81899999999999995</v>
      </c>
      <c r="G33" s="12" t="s">
        <v>26</v>
      </c>
    </row>
    <row r="34" spans="2:7" ht="15.75" x14ac:dyDescent="0.25">
      <c r="B34" s="57" t="s">
        <v>35</v>
      </c>
      <c r="C34" s="57"/>
      <c r="D34" s="57"/>
      <c r="E34" s="57"/>
      <c r="F34" s="15">
        <v>30</v>
      </c>
      <c r="G34" s="12" t="s">
        <v>25</v>
      </c>
    </row>
    <row r="36" spans="2:7" ht="15.75" x14ac:dyDescent="0.25">
      <c r="B36" s="56" t="s">
        <v>12</v>
      </c>
      <c r="C36" s="56"/>
      <c r="D36" s="56"/>
      <c r="E36" s="56"/>
      <c r="F36" s="9">
        <f>F39*SIN(F40*0.0174533)</f>
        <v>46.016786602743679</v>
      </c>
      <c r="G36" s="10" t="s">
        <v>19</v>
      </c>
    </row>
    <row r="37" spans="2:7" ht="15.75" x14ac:dyDescent="0.25">
      <c r="B37" s="57" t="s">
        <v>6</v>
      </c>
      <c r="C37" s="57"/>
      <c r="D37" s="57"/>
      <c r="E37" s="57"/>
      <c r="F37" s="11">
        <v>265</v>
      </c>
      <c r="G37" s="12" t="s">
        <v>16</v>
      </c>
    </row>
    <row r="38" spans="2:7" ht="15.75" x14ac:dyDescent="0.25">
      <c r="B38" s="57" t="s">
        <v>20</v>
      </c>
      <c r="C38" s="57"/>
      <c r="D38" s="57"/>
      <c r="E38" s="57"/>
      <c r="F38" s="11">
        <v>0</v>
      </c>
      <c r="G38" s="12" t="s">
        <v>16</v>
      </c>
    </row>
    <row r="39" spans="2:7" ht="15.75" x14ac:dyDescent="0.25">
      <c r="B39" s="58" t="s">
        <v>31</v>
      </c>
      <c r="C39" s="59"/>
      <c r="D39" s="59"/>
      <c r="E39" s="60"/>
      <c r="F39" s="11">
        <f>F37+F38</f>
        <v>265</v>
      </c>
      <c r="G39" s="12"/>
    </row>
    <row r="40" spans="2:7" ht="15.75" x14ac:dyDescent="0.25">
      <c r="B40" s="57" t="s">
        <v>14</v>
      </c>
      <c r="C40" s="57"/>
      <c r="D40" s="57"/>
      <c r="E40" s="57"/>
      <c r="F40" s="11">
        <v>10</v>
      </c>
      <c r="G40" s="12" t="s">
        <v>17</v>
      </c>
    </row>
    <row r="41" spans="2:7" ht="15.75" x14ac:dyDescent="0.25">
      <c r="B41" s="1"/>
      <c r="C41" s="1"/>
      <c r="D41" s="1"/>
      <c r="F41" s="1"/>
      <c r="G41" s="1"/>
    </row>
    <row r="42" spans="2:7" ht="15.75" x14ac:dyDescent="0.25">
      <c r="B42" s="56" t="s">
        <v>13</v>
      </c>
      <c r="C42" s="56"/>
      <c r="D42" s="56"/>
      <c r="E42" s="56"/>
      <c r="F42" s="9">
        <f>F45*COS(F46*0.0174533)*F47/1000</f>
        <v>5.219481022123083</v>
      </c>
      <c r="G42" s="10" t="s">
        <v>19</v>
      </c>
    </row>
    <row r="43" spans="2:7" ht="15.75" x14ac:dyDescent="0.25">
      <c r="B43" s="57" t="s">
        <v>6</v>
      </c>
      <c r="C43" s="57"/>
      <c r="D43" s="57"/>
      <c r="E43" s="57"/>
      <c r="F43" s="27">
        <f>F37</f>
        <v>265</v>
      </c>
      <c r="G43" s="12" t="s">
        <v>16</v>
      </c>
    </row>
    <row r="44" spans="2:7" ht="15.75" x14ac:dyDescent="0.25">
      <c r="B44" s="57" t="s">
        <v>20</v>
      </c>
      <c r="C44" s="57"/>
      <c r="D44" s="57"/>
      <c r="E44" s="57"/>
      <c r="F44" s="27">
        <f>F38</f>
        <v>0</v>
      </c>
      <c r="G44" s="12" t="s">
        <v>16</v>
      </c>
    </row>
    <row r="45" spans="2:7" ht="15.75" x14ac:dyDescent="0.25">
      <c r="B45" s="58" t="s">
        <v>31</v>
      </c>
      <c r="C45" s="59"/>
      <c r="D45" s="59"/>
      <c r="E45" s="60"/>
      <c r="F45" s="27">
        <f>F39</f>
        <v>265</v>
      </c>
      <c r="G45" s="12"/>
    </row>
    <row r="46" spans="2:7" ht="15.75" x14ac:dyDescent="0.25">
      <c r="B46" s="57" t="s">
        <v>14</v>
      </c>
      <c r="C46" s="57"/>
      <c r="D46" s="57"/>
      <c r="E46" s="57"/>
      <c r="F46" s="27">
        <f>F40</f>
        <v>10</v>
      </c>
      <c r="G46" s="12" t="s">
        <v>17</v>
      </c>
    </row>
    <row r="47" spans="2:7" ht="15.75" x14ac:dyDescent="0.25">
      <c r="B47" s="57" t="s">
        <v>15</v>
      </c>
      <c r="C47" s="57"/>
      <c r="D47" s="57"/>
      <c r="E47" s="57"/>
      <c r="F47" s="11">
        <v>20</v>
      </c>
      <c r="G47" s="12" t="s">
        <v>18</v>
      </c>
    </row>
    <row r="48" spans="2:7" ht="15.75" x14ac:dyDescent="0.25">
      <c r="B48" s="16"/>
      <c r="C48" s="16"/>
      <c r="D48" s="16"/>
      <c r="E48" s="16"/>
      <c r="G48" s="2"/>
    </row>
    <row r="49" spans="2:11" ht="15.75" customHeight="1" x14ac:dyDescent="0.25">
      <c r="B49" s="56" t="s">
        <v>42</v>
      </c>
      <c r="C49" s="56"/>
      <c r="D49" s="56"/>
      <c r="E49" s="56"/>
      <c r="F49" s="17">
        <f>F36-F28-F42</f>
        <v>39.166127970739552</v>
      </c>
      <c r="G49" s="18" t="s">
        <v>19</v>
      </c>
      <c r="H49" s="20"/>
      <c r="I49" s="65" t="s">
        <v>54</v>
      </c>
      <c r="J49" s="65"/>
      <c r="K49" s="65"/>
    </row>
    <row r="50" spans="2:11" ht="15.75" x14ac:dyDescent="0.25">
      <c r="B50" s="56" t="s">
        <v>43</v>
      </c>
      <c r="C50" s="56"/>
      <c r="D50" s="56"/>
      <c r="E50" s="56"/>
      <c r="F50" s="19">
        <f>F49*1000*F34/273.75</f>
        <v>4292.1784077522798</v>
      </c>
      <c r="G50" s="18" t="s">
        <v>33</v>
      </c>
      <c r="I50" s="65"/>
      <c r="J50" s="65"/>
      <c r="K50" s="65"/>
    </row>
    <row r="51" spans="2:11" ht="15.75" x14ac:dyDescent="0.25">
      <c r="B51" s="61" t="s">
        <v>48</v>
      </c>
      <c r="C51" s="62"/>
      <c r="D51" s="62"/>
      <c r="E51" s="63"/>
      <c r="F51" s="19">
        <v>18960</v>
      </c>
      <c r="G51" s="18" t="s">
        <v>49</v>
      </c>
      <c r="I51" s="65"/>
      <c r="J51" s="65"/>
      <c r="K51" s="65"/>
    </row>
    <row r="52" spans="2:11" ht="15.75" x14ac:dyDescent="0.25">
      <c r="B52" s="61" t="s">
        <v>50</v>
      </c>
      <c r="C52" s="62"/>
      <c r="D52" s="62"/>
      <c r="E52" s="63"/>
      <c r="F52" s="19">
        <f>(103729*4/10000)</f>
        <v>41.491599999999998</v>
      </c>
      <c r="G52" s="18" t="s">
        <v>24</v>
      </c>
    </row>
    <row r="53" spans="2:11" ht="15.75" x14ac:dyDescent="0.25">
      <c r="B53" s="61" t="s">
        <v>45</v>
      </c>
      <c r="C53" s="62"/>
      <c r="D53" s="62"/>
      <c r="E53" s="63"/>
      <c r="F53" s="17">
        <f>F51/9.81*F52/1000</f>
        <v>80.19171620795106</v>
      </c>
      <c r="G53" s="18" t="s">
        <v>19</v>
      </c>
      <c r="I53" s="47" t="s">
        <v>39</v>
      </c>
      <c r="J53" s="48"/>
      <c r="K53" s="49"/>
    </row>
    <row r="54" spans="2:11" ht="15.75" x14ac:dyDescent="0.25">
      <c r="B54" s="61" t="s">
        <v>51</v>
      </c>
      <c r="C54" s="62"/>
      <c r="D54" s="62"/>
      <c r="E54" s="63"/>
      <c r="F54" s="24">
        <v>0.7</v>
      </c>
      <c r="G54" s="18"/>
      <c r="I54" s="50"/>
      <c r="J54" s="51"/>
      <c r="K54" s="52"/>
    </row>
    <row r="55" spans="2:11" ht="15.75" x14ac:dyDescent="0.25">
      <c r="B55" s="61" t="s">
        <v>53</v>
      </c>
      <c r="C55" s="62"/>
      <c r="D55" s="62"/>
      <c r="E55" s="63"/>
      <c r="F55" s="17">
        <f>F53*F54</f>
        <v>56.134201345565735</v>
      </c>
      <c r="G55" s="18" t="s">
        <v>19</v>
      </c>
      <c r="I55" s="50"/>
      <c r="J55" s="51"/>
      <c r="K55" s="52"/>
    </row>
    <row r="56" spans="2:11" ht="15.75" x14ac:dyDescent="0.25">
      <c r="B56" s="61" t="s">
        <v>44</v>
      </c>
      <c r="C56" s="62"/>
      <c r="D56" s="62"/>
      <c r="E56" s="63"/>
      <c r="F56" s="19">
        <f>F55*1000*F34/273.75</f>
        <v>6151.6932981441905</v>
      </c>
      <c r="G56" s="18" t="s">
        <v>33</v>
      </c>
      <c r="I56" s="50"/>
      <c r="J56" s="51"/>
      <c r="K56" s="52"/>
    </row>
    <row r="57" spans="2:11" ht="15.75" x14ac:dyDescent="0.25">
      <c r="B57" s="56" t="s">
        <v>38</v>
      </c>
      <c r="C57" s="56"/>
      <c r="D57" s="56"/>
      <c r="E57" s="56"/>
      <c r="F57" s="19">
        <v>4474</v>
      </c>
      <c r="G57" s="18" t="s">
        <v>33</v>
      </c>
      <c r="I57" s="50"/>
      <c r="J57" s="51"/>
      <c r="K57" s="52"/>
    </row>
    <row r="58" spans="2:11" ht="15.75" x14ac:dyDescent="0.25">
      <c r="B58" s="61" t="s">
        <v>47</v>
      </c>
      <c r="C58" s="62"/>
      <c r="D58" s="62"/>
      <c r="E58" s="63"/>
      <c r="F58" s="24">
        <v>0.9</v>
      </c>
      <c r="G58" s="18"/>
      <c r="I58" s="50"/>
      <c r="J58" s="51"/>
      <c r="K58" s="52"/>
    </row>
    <row r="59" spans="2:11" ht="15.75" x14ac:dyDescent="0.25">
      <c r="B59" s="61" t="s">
        <v>36</v>
      </c>
      <c r="C59" s="62"/>
      <c r="D59" s="62"/>
      <c r="E59" s="63"/>
      <c r="F59" s="19">
        <f>F56+F57*F58</f>
        <v>10178.29329814419</v>
      </c>
      <c r="G59" s="18" t="s">
        <v>33</v>
      </c>
      <c r="I59" s="50"/>
      <c r="J59" s="51"/>
      <c r="K59" s="52"/>
    </row>
    <row r="60" spans="2:11" ht="15.75" x14ac:dyDescent="0.25">
      <c r="B60" s="56" t="s">
        <v>46</v>
      </c>
      <c r="C60" s="56"/>
      <c r="D60" s="56"/>
      <c r="E60" s="56"/>
      <c r="F60" s="24">
        <f>F50/F59</f>
        <v>0.42169922618901867</v>
      </c>
      <c r="G60" s="25"/>
      <c r="H60" s="21"/>
      <c r="I60" s="53"/>
      <c r="J60" s="54"/>
      <c r="K60" s="55"/>
    </row>
    <row r="61" spans="2:11" ht="15" customHeight="1" x14ac:dyDescent="0.25">
      <c r="I61" s="26"/>
      <c r="J61" s="26"/>
      <c r="K61" s="26"/>
    </row>
    <row r="62" spans="2:11" ht="15" customHeight="1" x14ac:dyDescent="0.25">
      <c r="B62" s="14" t="s">
        <v>27</v>
      </c>
      <c r="I62" s="26"/>
      <c r="J62" s="26"/>
      <c r="K62" s="26"/>
    </row>
    <row r="63" spans="2:11" ht="15" customHeight="1" x14ac:dyDescent="0.25">
      <c r="I63" s="26"/>
      <c r="J63" s="26"/>
      <c r="K63" s="26"/>
    </row>
    <row r="67" spans="2:7" x14ac:dyDescent="0.25">
      <c r="B67" s="14" t="s">
        <v>22</v>
      </c>
      <c r="G67" s="14" t="s">
        <v>21</v>
      </c>
    </row>
  </sheetData>
  <mergeCells count="33">
    <mergeCell ref="I53:K60"/>
    <mergeCell ref="I49:K51"/>
    <mergeCell ref="B55:E55"/>
    <mergeCell ref="B39:E39"/>
    <mergeCell ref="L13:M18"/>
    <mergeCell ref="B28:E28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B40:E40"/>
    <mergeCell ref="B42:E42"/>
    <mergeCell ref="B43:E43"/>
    <mergeCell ref="B44:E44"/>
    <mergeCell ref="B45:E45"/>
    <mergeCell ref="B46:E46"/>
    <mergeCell ref="B47:E47"/>
    <mergeCell ref="B49:E49"/>
    <mergeCell ref="B50:E50"/>
    <mergeCell ref="B57:E57"/>
    <mergeCell ref="B60:E60"/>
    <mergeCell ref="B54:E54"/>
    <mergeCell ref="B53:E53"/>
    <mergeCell ref="B56:E56"/>
    <mergeCell ref="B58:E58"/>
    <mergeCell ref="B59:E59"/>
    <mergeCell ref="B51:E51"/>
    <mergeCell ref="B52:E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Tracción</vt:lpstr>
      <vt:lpstr>Retardo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2024-03-23T21:39:04Z</dcterms:created>
  <dcterms:modified xsi:type="dcterms:W3CDTF">2024-03-25T22:41:06Z</dcterms:modified>
</cp:coreProperties>
</file>